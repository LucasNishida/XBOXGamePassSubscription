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4B866717-FFCC-4D0C-9E5A-2FE533D81707}" xr6:coauthVersionLast="47" xr6:coauthVersionMax="47" xr10:uidLastSave="{00000000-0000-0000-0000-000000000000}"/>
  <bookViews>
    <workbookView xWindow="-120" yWindow="-120" windowWidth="29040" windowHeight="15840" tabRatio="41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<sst xmlns="http://schemas.openxmlformats.org/spreadsheetml/2006/main" count="2040" uniqueCount="328">
  <si>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</si>
  <si>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</si>
  <si>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</si>
  <si>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</si>
  <si>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</si>
  <si>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</si>
  <si>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</si>
  <si>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</si>
  <si>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</si>
  <si>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</si>
  <si>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</si>
  <si>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</si>
  <si>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</si>
  <si>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</si>
  <si>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</si>
  <si>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</si>
  <si>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</si>
  <si>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</si>
  <si>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</si>
  <si>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</si>
  <si>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</si>
  <si>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</si>
  <si>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</si>
  <si>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</si>
  <si>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</si>
  <si>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</si>
  <si>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</si>
  <si>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</si>
  <si>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</si>
  <si>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</si>
  <si>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</si>
  <si>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</si>
  <si>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</si>
  <si>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</si>
  <si>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</si>
  <si>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</si>
  <si>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</si>
  <si>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</si>
  <si>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</si>
  <si>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</si>
  <si>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</si>
  <si>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</si>
  <si>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</si>
  <si>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</si>
  <si>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</si>
  <si>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</si>
  <si>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</si>
  <si>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</si>
  <si>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</si>
  <si>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</si>
  <si>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</si>
  <si>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</si>
  <si>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</si>
  <si>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</si>
  <si>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</si>
  <si>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</si>
  <si>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</si>
  <si>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</si>
  <si>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</si>
  <si>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</si>
  <si>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</si>
  <si>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</si>
  <si>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</si>
  <si>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</si>
  <si>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</si>
  <si>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</si>
  <si>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</si>
  <si>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</si>
  <si>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</si>
  <si>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</si>
  <si>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</si>
  <si>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</si>
  <si>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</si>
  <si>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</si>
  <si>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</si>
  <si>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</si>
  <si>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</si>
  <si>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</si>
  <si>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</si>
  <si>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</si>
  <si>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</si>
  <si>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</si>
  <si>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</si>
  <si>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</si>
  <si>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</si>
  <si>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</si>
  <si>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</si>
  <si>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</si>
  <si>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</si>
  <si>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</si>
  <si>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</si>
  <si>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</si>
  <si>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</si>
  <si>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</si>
  <si>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</si>
  <si>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</si>
  <si>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</si>
  <si>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</si>
  <si>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</si>
  <si>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</si>
  <si>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</si>
  <si>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</si>
  <si>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</si>
  <si>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</si>
  <si>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</si>
  <si>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</si>
  <si>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</si>
  <si>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</si>
  <si>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</si>
  <si>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</si>
  <si>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</si>
  <si>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</si>
  <si>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</si>
  <si>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</si>
  <si>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</si>
  <si>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</si>
  <si>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</si>
  <si>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</si>
  <si>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</si>
  <si>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</si>
  <si>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</si>
  <si>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</si>
  <si>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</si>
  <si>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</si>
  <si>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</si>
  <si>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</si>
  <si>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</si>
  <si>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</si>
  <si>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</si>
  <si>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</si>
  <si>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</si>
  <si>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</si>
  <si>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</si>
  <si>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</si>
  <si>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</si>
  <si>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</si>
  <si>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</si>
  <si>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</si>
  <si>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</si>
  <si>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</si>
  <si>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</si>
  <si>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</si>
  <si>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</si>
  <si>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</si>
  <si>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</si>
  <si>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</si>
  <si>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</si>
  <si>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</si>
  <si>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</si>
  <si>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</si>
  <si>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</si>
  <si>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</si>
  <si>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</si>
  <si>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</si>
  <si>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</si>
  <si>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</si>
  <si>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</si>
  <si>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</si>
  <si>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</si>
  <si>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</si>
  <si>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</si>
  <si>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</si>
  <si>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</si>
  <si>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</si>
  <si>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</si>
  <si>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</si>
  <si>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</si>
  <si>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</si>
  <si>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</si>
  <si>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</si>
  <si>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</si>
  <si>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</si>
  <si>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</si>
  <si>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</si>
  <si>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</si>
  <si>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</si>
  <si>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</si>
  <si>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</si>
  <si>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</si>
  <si>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</si>
  <si>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</si>
  <si>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</si>
  <si>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</si>
  <si>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</si>
  <si>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</si>
  <si>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</si>
  <si>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</si>
  <si>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</si>
  <si>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</si>
  <si>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</si>
  <si>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</si>
  <si>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</si>
  <si>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</si>
  <si>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</si>
  <si>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</si>
  <si>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</si>
  <si>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</si>
  <si>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</si>
  <si>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</si>
  <si>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</si>
  <si>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</si>
  <si>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</si>
  <si>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</si>
  <si>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</si>
  <si>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</si>
  <si>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</si>
  <si>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</si>
  <si>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</si>
  <si>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</si>
  <si>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</si>
  <si>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</si>
  <si>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</si>
  <si>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</si>
  <si>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</si>
  <si>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</si>
  <si>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</si>
  <si>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</si>
  <si>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</si>
  <si>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</si>
  <si>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</si>
  <si>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</si>
  <si>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</si>
  <si>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</si>
  <si>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</si>
  <si>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</si>
  <si>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</si>
  <si>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</si>
  <si>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</si>
  <si>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</si>
  <si>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</si>
  <si>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</si>
  <si>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</si>
  <si>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</si>
  <si>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</si>
  <si>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</si>
  <si>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</si>
  <si>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</si>
  <si>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</si>
  <si>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</si>
  <si>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</si>
  <si>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</si>
  <si>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</si>
  <si>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</si>
  <si>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</si>
  <si>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</si>
  <si>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</si>
  <si>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</si>
  <si>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</si>
  <si>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</si>
  <si>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</si>
  <si>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</si>
  <si>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</si>
  <si>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</si>
  <si>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</si>
  <si>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</si>
  <si>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</si>
  <si>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</si>
  <si>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</si>
  <si>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</si>
  <si>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</si>
  <si>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</si>
  <si>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</si>
  <si>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</si>
  <si>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</si>
  <si>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</si>
  <si>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</si>
  <si>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</si>
  <si>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</si>
  <si>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</si>
  <si>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</si>
  <si>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</si>
  <si>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</si>
  <si>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</si>
  <si>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</si>
  <si>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</si>
  <si>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</si>
  <si>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</si>
  <si>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</si>
  <si>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</si>
  <si>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</si>
  <si>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</si>
  <si>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</si>
  <si>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</si>
  <si>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</si>
  <si>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</si>
  <si>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</si>
  <si>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</si>
  <si>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</si>
  <si>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</si>
  <si>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</si>
  <si>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</si>
  <si>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</si>
  <si>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</si>
  <si>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</si>
  <si>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</si>
  <si>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</si>
  <si>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</si>
  <si>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</si>
  <si>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</si>
  <si>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</si>
  <si>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</si>
  <si>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</si>
  <si>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</si>
  <si>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</si>
  <si>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</si>
  <si>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</si>
  <si>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</si>
  <si>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</si>
  <si>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</si>
  <si>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</si>
  <si>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</si>
  <si>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</si>
  <si>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</si>
  <si>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</si>
  <si>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</si>
  <si>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</si>
  <si>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</si>
  <si>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</si>
  <si>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</si>
  <si>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</si>
  <si>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</si>
  <si>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</si>
  <si>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</si>
  <si>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</si>
  <si>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Pergunta Negócio 6 - Total de Vendas de cada Plano</t>
  </si>
  <si>
    <t>(Tudo)</t>
  </si>
  <si>
    <t>Contagem de Plan</t>
  </si>
  <si>
    <t>Pergunta Negócio 5 - Total de inscrição de cada 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</si>
</sst>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4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19D19C"/>
      <color rgb="FF2AE6B1"/>
      <color rgb="FF5BF6A8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[0120950e-64c8-4092-a257-ba22ed198c69.xlsx]C̳álculos!Tabela dinâmica5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F6A8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rgbClr val="19D19C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rgbClr val="22C55E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6427238796985236"/>
          <c:y val="0.11560185185185186"/>
          <c:w val="0.44097974909099674"/>
          <c:h val="0.83449292796733754"/>
        </c:manualLayout>
      </c:layout>
      <c:pieChart>
        <c:varyColors val="1"/>
        <c:ser>
          <c:idx val="0"/>
          <c:order val="0"/>
          <c:tx>
            <c:strRef>
              <c:f>C̳álculos!$C$44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BF6A8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E1-4556-9DAA-F3E1D90D1D4B}"/>
              </c:ext>
            </c:extLst>
          </c:dPt>
          <c:dPt>
            <c:idx val="1"/>
            <c:bubble3D val="0"/>
            <c:spPr>
              <a:solidFill>
                <a:srgbClr val="19D19C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4E1-4556-9DAA-F3E1D90D1D4B}"/>
              </c:ext>
            </c:extLst>
          </c:dPt>
          <c:dPt>
            <c:idx val="2"/>
            <c:bubble3D val="0"/>
            <c:spPr>
              <a:solidFill>
                <a:srgbClr val="22C55E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4E1-4556-9DAA-F3E1D90D1D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C̳álculos!$B$45:$B$51</c:f>
              <c:multiLvlStrCache>
                <c:ptCount val="3"/>
                <c:lvl>
                  <c:pt idx="0">
                    <c:v>Core</c:v>
                  </c:pt>
                  <c:pt idx="1">
                    <c:v>Standard</c:v>
                  </c:pt>
                  <c:pt idx="2">
                    <c:v>Ultimate</c:v>
                  </c:pt>
                </c:lvl>
                <c:lvl>
                  <c:pt idx="0">
                    <c:v> R$ 5,00 </c:v>
                  </c:pt>
                  <c:pt idx="1">
                    <c:v> R$ 10,00 </c:v>
                  </c:pt>
                  <c:pt idx="2">
                    <c:v> R$ 15,00 </c:v>
                  </c:pt>
                </c:lvl>
              </c:multiLvlStrCache>
            </c:multiLvlStrRef>
          </c:cat>
          <c:val>
            <c:numRef>
              <c:f>C̳álculos!$C$45:$C$51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E1-4556-9DAA-F3E1D90D1D4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93106022297666"/>
          <c:y val="0.40184055118110235"/>
          <c:w val="0.20906893977702329"/>
          <c:h val="0.23437664041994752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[0120950e-64c8-4092-a257-ba22ed198c69.xlsx]C̳álculos!Tabela dinâmica7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394820500708041E-2"/>
          <c:y val="5.9232432788532928E-2"/>
          <c:w val="0.84475217262212987"/>
          <c:h val="0.873693250038696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C̳álculos!$B$61:$B$64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C̳álculos!$C$61:$C$64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1-4C15-A838-15FD4209B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4433072"/>
        <c:axId val="1044438832"/>
      </c:barChart>
      <c:catAx>
        <c:axId val="104443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4438832"/>
        <c:crosses val="autoZero"/>
        <c:auto val="1"/>
        <c:lblAlgn val="ctr"/>
        <c:lblOffset val="100"/>
        <c:noMultiLvlLbl val="0"/>
      </c:catAx>
      <c:valAx>
        <c:axId val="104443883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443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2</xdr:col>
      <xdr:colOff>0</xdr:colOff>
      <xdr:row>35</xdr:row>
      <xdr:rowOff>130969</xdr:rowOff>
    </xdr:from>
    <xdr:to>
      <xdr:col>19</xdr:col>
      <xdr:colOff>142875</xdr:colOff>
      <xdr:row>55</xdr:row>
      <xdr:rowOff>28575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8CF17B49-69DE-E929-3A9E-B75EA7854B9E}"/>
            </a:ext>
          </a:extLst>
        </xdr:cNvPr>
        <xdr:cNvGrpSpPr/>
      </xdr:nvGrpSpPr>
      <xdr:grpSpPr>
        <a:xfrm>
          <a:off x="2066925" y="6655594"/>
          <a:ext cx="10334625" cy="3707606"/>
          <a:chOff x="8562975" y="6922294"/>
          <a:chExt cx="5791200" cy="3133725"/>
        </a:xfrm>
      </xdr:grpSpPr>
      <xdr:sp macro="" textlink="">
        <xdr:nvSpPr>
          <xdr:cNvPr id="41" name="Retângulo: Cantos Arredondados 40">
            <a:extLst>
              <a:ext uri="{FF2B5EF4-FFF2-40B4-BE49-F238E27FC236}">
                <a16:creationId xmlns:a16="http://schemas.microsoft.com/office/drawing/2014/main" id="{B1C988E8-B4C7-43CC-90C1-EC5CE5E0801E}"/>
              </a:ext>
            </a:extLst>
          </xdr:cNvPr>
          <xdr:cNvSpPr/>
        </xdr:nvSpPr>
        <xdr:spPr>
          <a:xfrm>
            <a:off x="8562975" y="6941344"/>
            <a:ext cx="5791200" cy="3114675"/>
          </a:xfrm>
          <a:prstGeom prst="roundRect">
            <a:avLst>
              <a:gd name="adj" fmla="val 4435"/>
            </a:avLst>
          </a:prstGeom>
          <a:solidFill>
            <a:schemeClr val="lt1"/>
          </a:solidFill>
          <a:ln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pt-BR" sz="1100">
              <a:solidFill>
                <a:schemeClr val="bg1"/>
              </a:solidFill>
            </a:endParaRPr>
          </a:p>
        </xdr:txBody>
      </xdr:sp>
      <xdr:graphicFrame macro="">
        <xdr:nvGraphicFramePr>
          <xdr:cNvPr id="40" name="Gráfico 39">
            <a:extLst>
              <a:ext uri="{FF2B5EF4-FFF2-40B4-BE49-F238E27FC236}">
                <a16:creationId xmlns:a16="http://schemas.microsoft.com/office/drawing/2014/main" id="{F3A47685-16B2-4C8B-8908-5A6B23408177}"/>
              </a:ext>
            </a:extLst>
          </xdr:cNvPr>
          <xdr:cNvGraphicFramePr>
            <a:graphicFrameLocks/>
          </xdr:cNvGraphicFramePr>
        </xdr:nvGraphicFramePr>
        <xdr:xfrm>
          <a:off x="8801100" y="7239000"/>
          <a:ext cx="519112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44" name="Retângulo: Cantos Superiores Arredondados 43">
            <a:extLst>
              <a:ext uri="{FF2B5EF4-FFF2-40B4-BE49-F238E27FC236}">
                <a16:creationId xmlns:a16="http://schemas.microsoft.com/office/drawing/2014/main" id="{562BDFC7-B239-409C-A7AA-2F55528CE7AE}"/>
              </a:ext>
            </a:extLst>
          </xdr:cNvPr>
          <xdr:cNvSpPr/>
        </xdr:nvSpPr>
        <xdr:spPr>
          <a:xfrm>
            <a:off x="8562975" y="6922294"/>
            <a:ext cx="5788819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POR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PLANO</a:t>
            </a:r>
          </a:p>
        </xdr:txBody>
      </xdr:sp>
    </xdr:grpSp>
    <xdr:clientData/>
  </xdr:twoCellAnchor>
  <xdr:twoCellAnchor>
    <xdr:from>
      <xdr:col>2</xdr:col>
      <xdr:colOff>0</xdr:colOff>
      <xdr:row>56</xdr:row>
      <xdr:rowOff>102394</xdr:rowOff>
    </xdr:from>
    <xdr:to>
      <xdr:col>19</xdr:col>
      <xdr:colOff>114300</xdr:colOff>
      <xdr:row>77</xdr:row>
      <xdr:rowOff>66676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419FBC0-34F6-EF93-D477-60222C931AA7}"/>
            </a:ext>
          </a:extLst>
        </xdr:cNvPr>
        <xdr:cNvGrpSpPr/>
      </xdr:nvGrpSpPr>
      <xdr:grpSpPr>
        <a:xfrm>
          <a:off x="2066925" y="10627519"/>
          <a:ext cx="10306050" cy="3964782"/>
          <a:chOff x="8162925" y="6722269"/>
          <a:chExt cx="5791200" cy="3170390"/>
        </a:xfrm>
      </xdr:grpSpPr>
      <xdr:sp macro="" textlink="">
        <xdr:nvSpPr>
          <xdr:cNvPr id="47" name="Retângulo: Cantos Arredondados 46">
            <a:extLst>
              <a:ext uri="{FF2B5EF4-FFF2-40B4-BE49-F238E27FC236}">
                <a16:creationId xmlns:a16="http://schemas.microsoft.com/office/drawing/2014/main" id="{10F2E648-0CD7-41FF-8348-72F901AD8AFE}"/>
              </a:ext>
            </a:extLst>
          </xdr:cNvPr>
          <xdr:cNvSpPr/>
        </xdr:nvSpPr>
        <xdr:spPr>
          <a:xfrm>
            <a:off x="8162925" y="6760369"/>
            <a:ext cx="5791200" cy="3114675"/>
          </a:xfrm>
          <a:prstGeom prst="roundRect">
            <a:avLst>
              <a:gd name="adj" fmla="val 4435"/>
            </a:avLst>
          </a:prstGeom>
          <a:solidFill>
            <a:schemeClr val="lt1"/>
          </a:solidFill>
          <a:ln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pt-BR" sz="1100">
              <a:solidFill>
                <a:schemeClr val="bg1"/>
              </a:solidFill>
            </a:endParaRPr>
          </a:p>
        </xdr:txBody>
      </xdr:sp>
      <xdr:graphicFrame macro="">
        <xdr:nvGraphicFramePr>
          <xdr:cNvPr id="46" name="Gráfico 45">
            <a:extLst>
              <a:ext uri="{FF2B5EF4-FFF2-40B4-BE49-F238E27FC236}">
                <a16:creationId xmlns:a16="http://schemas.microsoft.com/office/drawing/2014/main" id="{C4007425-35AC-4EA4-8DAF-61234E590C86}"/>
              </a:ext>
            </a:extLst>
          </xdr:cNvPr>
          <xdr:cNvGraphicFramePr>
            <a:graphicFrameLocks/>
          </xdr:cNvGraphicFramePr>
        </xdr:nvGraphicFramePr>
        <xdr:xfrm>
          <a:off x="8521248" y="7202775"/>
          <a:ext cx="5095681" cy="26898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48" name="Retângulo: Cantos Superiores Arredondados 47">
            <a:extLst>
              <a:ext uri="{FF2B5EF4-FFF2-40B4-BE49-F238E27FC236}">
                <a16:creationId xmlns:a16="http://schemas.microsoft.com/office/drawing/2014/main" id="{5D3F8A92-7E3F-4ADE-94D6-F228EAAFFEDF}"/>
              </a:ext>
            </a:extLst>
          </xdr:cNvPr>
          <xdr:cNvSpPr/>
        </xdr:nvSpPr>
        <xdr:spPr>
          <a:xfrm>
            <a:off x="8162925" y="6722269"/>
            <a:ext cx="5788819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POR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PLANO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x v="0"/>
    <s v="Yes"/>
    <n v="20"/>
    <n v="5"/>
    <x v="0"/>
  </r>
  <r>
    <n v="3232"/>
    <x v="1"/>
    <x v="1"/>
    <d v="2024-01-15T00:00:00"/>
    <x v="1"/>
    <x v="1"/>
    <x v="1"/>
    <s v="No"/>
    <x v="1"/>
    <s v="No"/>
    <n v="0"/>
    <n v="0"/>
    <x v="1"/>
  </r>
  <r>
    <n v="3233"/>
    <x v="2"/>
    <x v="2"/>
    <d v="2024-02-10T00:00:00"/>
    <x v="0"/>
    <x v="2"/>
    <x v="2"/>
    <s v="No"/>
    <x v="1"/>
    <s v="Yes"/>
    <n v="20"/>
    <n v="10"/>
    <x v="2"/>
  </r>
  <r>
    <n v="3234"/>
    <x v="3"/>
    <x v="0"/>
    <d v="2024-02-20T00:00:00"/>
    <x v="1"/>
    <x v="0"/>
    <x v="0"/>
    <s v="Yes"/>
    <x v="0"/>
    <s v="Yes"/>
    <n v="20"/>
    <n v="3"/>
    <x v="3"/>
  </r>
  <r>
    <n v="3235"/>
    <x v="4"/>
    <x v="1"/>
    <d v="2024-03-05T00:00:00"/>
    <x v="0"/>
    <x v="1"/>
    <x v="0"/>
    <s v="No"/>
    <x v="1"/>
    <s v="No"/>
    <n v="0"/>
    <n v="1"/>
    <x v="4"/>
  </r>
  <r>
    <n v="3236"/>
    <x v="5"/>
    <x v="2"/>
    <d v="2024-03-02T00:00:00"/>
    <x v="1"/>
    <x v="2"/>
    <x v="0"/>
    <s v="No"/>
    <x v="1"/>
    <s v="Yes"/>
    <n v="20"/>
    <n v="2"/>
    <x v="5"/>
  </r>
  <r>
    <n v="3237"/>
    <x v="6"/>
    <x v="0"/>
    <d v="2024-03-03T00:00:00"/>
    <x v="0"/>
    <x v="0"/>
    <x v="2"/>
    <s v="Yes"/>
    <x v="0"/>
    <s v="Yes"/>
    <n v="20"/>
    <n v="10"/>
    <x v="6"/>
  </r>
  <r>
    <n v="3238"/>
    <x v="7"/>
    <x v="1"/>
    <d v="2024-03-04T00:00:00"/>
    <x v="0"/>
    <x v="1"/>
    <x v="1"/>
    <s v="No"/>
    <x v="1"/>
    <s v="No"/>
    <n v="0"/>
    <n v="0"/>
    <x v="1"/>
  </r>
  <r>
    <n v="3239"/>
    <x v="8"/>
    <x v="0"/>
    <d v="2024-03-05T00:00:00"/>
    <x v="1"/>
    <x v="0"/>
    <x v="0"/>
    <s v="Yes"/>
    <x v="0"/>
    <s v="Yes"/>
    <n v="20"/>
    <n v="5"/>
    <x v="0"/>
  </r>
  <r>
    <n v="3240"/>
    <x v="9"/>
    <x v="2"/>
    <d v="2024-03-06T00:00:00"/>
    <x v="0"/>
    <x v="2"/>
    <x v="2"/>
    <s v="No"/>
    <x v="1"/>
    <s v="Yes"/>
    <n v="20"/>
    <n v="15"/>
    <x v="7"/>
  </r>
  <r>
    <n v="3241"/>
    <x v="10"/>
    <x v="1"/>
    <d v="2024-03-07T00:00:00"/>
    <x v="1"/>
    <x v="1"/>
    <x v="0"/>
    <s v="No"/>
    <x v="1"/>
    <s v="No"/>
    <n v="0"/>
    <n v="1"/>
    <x v="4"/>
  </r>
  <r>
    <n v="3242"/>
    <x v="11"/>
    <x v="0"/>
    <d v="2024-03-08T00:00:00"/>
    <x v="0"/>
    <x v="0"/>
    <x v="1"/>
    <s v="Yes"/>
    <x v="0"/>
    <s v="Yes"/>
    <n v="20"/>
    <n v="20"/>
    <x v="8"/>
  </r>
  <r>
    <n v="3243"/>
    <x v="12"/>
    <x v="2"/>
    <d v="2024-03-09T00:00:00"/>
    <x v="1"/>
    <x v="2"/>
    <x v="0"/>
    <s v="No"/>
    <x v="1"/>
    <s v="Yes"/>
    <n v="20"/>
    <n v="10"/>
    <x v="2"/>
  </r>
  <r>
    <n v="3244"/>
    <x v="13"/>
    <x v="1"/>
    <d v="2024-03-10T00:00:00"/>
    <x v="0"/>
    <x v="1"/>
    <x v="2"/>
    <s v="No"/>
    <x v="1"/>
    <s v="No"/>
    <n v="0"/>
    <n v="0"/>
    <x v="1"/>
  </r>
  <r>
    <n v="3245"/>
    <x v="14"/>
    <x v="0"/>
    <d v="2024-03-11T00:00:00"/>
    <x v="1"/>
    <x v="0"/>
    <x v="0"/>
    <s v="Yes"/>
    <x v="0"/>
    <s v="Yes"/>
    <n v="20"/>
    <n v="8"/>
    <x v="9"/>
  </r>
  <r>
    <n v="3246"/>
    <x v="15"/>
    <x v="2"/>
    <d v="2024-03-12T00:00:00"/>
    <x v="0"/>
    <x v="2"/>
    <x v="1"/>
    <s v="No"/>
    <x v="1"/>
    <s v="Yes"/>
    <n v="20"/>
    <n v="12"/>
    <x v="10"/>
  </r>
  <r>
    <n v="3247"/>
    <x v="16"/>
    <x v="1"/>
    <d v="2024-03-13T00:00:00"/>
    <x v="1"/>
    <x v="1"/>
    <x v="0"/>
    <s v="No"/>
    <x v="1"/>
    <s v="No"/>
    <n v="0"/>
    <n v="2"/>
    <x v="11"/>
  </r>
  <r>
    <n v="3248"/>
    <x v="17"/>
    <x v="0"/>
    <d v="2024-03-14T00:00:00"/>
    <x v="0"/>
    <x v="0"/>
    <x v="2"/>
    <s v="Yes"/>
    <x v="0"/>
    <s v="Yes"/>
    <n v="20"/>
    <n v="7"/>
    <x v="12"/>
  </r>
  <r>
    <n v="3249"/>
    <x v="18"/>
    <x v="2"/>
    <d v="2024-03-15T00:00:00"/>
    <x v="1"/>
    <x v="2"/>
    <x v="0"/>
    <s v="No"/>
    <x v="1"/>
    <s v="Yes"/>
    <n v="20"/>
    <n v="5"/>
    <x v="13"/>
  </r>
  <r>
    <n v="3250"/>
    <x v="19"/>
    <x v="1"/>
    <d v="2024-03-16T00:00:00"/>
    <x v="0"/>
    <x v="1"/>
    <x v="1"/>
    <s v="No"/>
    <x v="1"/>
    <s v="No"/>
    <n v="0"/>
    <n v="0"/>
    <x v="1"/>
  </r>
  <r>
    <n v="3251"/>
    <x v="20"/>
    <x v="0"/>
    <d v="2024-03-17T00:00:00"/>
    <x v="1"/>
    <x v="0"/>
    <x v="0"/>
    <s v="Yes"/>
    <x v="0"/>
    <s v="Yes"/>
    <n v="20"/>
    <n v="3"/>
    <x v="3"/>
  </r>
  <r>
    <n v="3252"/>
    <x v="21"/>
    <x v="2"/>
    <d v="2024-03-18T00:00:00"/>
    <x v="0"/>
    <x v="2"/>
    <x v="2"/>
    <s v="No"/>
    <x v="1"/>
    <s v="Yes"/>
    <n v="20"/>
    <n v="15"/>
    <x v="7"/>
  </r>
  <r>
    <n v="3253"/>
    <x v="22"/>
    <x v="1"/>
    <d v="2024-03-19T00:00:00"/>
    <x v="1"/>
    <x v="1"/>
    <x v="0"/>
    <s v="No"/>
    <x v="1"/>
    <s v="No"/>
    <n v="0"/>
    <n v="1"/>
    <x v="4"/>
  </r>
  <r>
    <n v="3254"/>
    <x v="23"/>
    <x v="0"/>
    <d v="2024-03-20T00:00:00"/>
    <x v="0"/>
    <x v="0"/>
    <x v="1"/>
    <s v="Yes"/>
    <x v="0"/>
    <s v="Yes"/>
    <n v="20"/>
    <n v="20"/>
    <x v="8"/>
  </r>
  <r>
    <n v="3255"/>
    <x v="24"/>
    <x v="2"/>
    <d v="2024-03-21T00:00:00"/>
    <x v="1"/>
    <x v="2"/>
    <x v="0"/>
    <s v="No"/>
    <x v="1"/>
    <s v="Yes"/>
    <n v="20"/>
    <n v="10"/>
    <x v="2"/>
  </r>
  <r>
    <n v="3256"/>
    <x v="25"/>
    <x v="1"/>
    <d v="2024-03-22T00:00:00"/>
    <x v="0"/>
    <x v="1"/>
    <x v="2"/>
    <s v="No"/>
    <x v="1"/>
    <s v="No"/>
    <n v="0"/>
    <n v="0"/>
    <x v="1"/>
  </r>
  <r>
    <n v="3257"/>
    <x v="26"/>
    <x v="0"/>
    <d v="2024-03-23T00:00:00"/>
    <x v="1"/>
    <x v="0"/>
    <x v="0"/>
    <s v="Yes"/>
    <x v="0"/>
    <s v="Yes"/>
    <n v="20"/>
    <n v="5"/>
    <x v="0"/>
  </r>
  <r>
    <n v="3258"/>
    <x v="27"/>
    <x v="2"/>
    <d v="2024-03-24T00:00:00"/>
    <x v="0"/>
    <x v="2"/>
    <x v="1"/>
    <s v="No"/>
    <x v="1"/>
    <s v="Yes"/>
    <n v="20"/>
    <n v="15"/>
    <x v="7"/>
  </r>
  <r>
    <n v="3259"/>
    <x v="28"/>
    <x v="1"/>
    <d v="2024-03-25T00:00:00"/>
    <x v="1"/>
    <x v="1"/>
    <x v="0"/>
    <s v="No"/>
    <x v="1"/>
    <s v="No"/>
    <n v="0"/>
    <n v="1"/>
    <x v="4"/>
  </r>
  <r>
    <n v="3260"/>
    <x v="29"/>
    <x v="0"/>
    <d v="2024-03-26T00:00:00"/>
    <x v="0"/>
    <x v="0"/>
    <x v="2"/>
    <s v="Yes"/>
    <x v="0"/>
    <s v="Yes"/>
    <n v="20"/>
    <n v="7"/>
    <x v="12"/>
  </r>
  <r>
    <n v="3261"/>
    <x v="30"/>
    <x v="2"/>
    <d v="2024-03-27T00:00:00"/>
    <x v="1"/>
    <x v="2"/>
    <x v="0"/>
    <s v="No"/>
    <x v="1"/>
    <s v="Yes"/>
    <n v="20"/>
    <n v="10"/>
    <x v="2"/>
  </r>
  <r>
    <n v="3262"/>
    <x v="31"/>
    <x v="1"/>
    <d v="2024-03-28T00:00:00"/>
    <x v="0"/>
    <x v="1"/>
    <x v="1"/>
    <s v="No"/>
    <x v="1"/>
    <s v="No"/>
    <n v="0"/>
    <n v="0"/>
    <x v="1"/>
  </r>
  <r>
    <n v="3263"/>
    <x v="32"/>
    <x v="0"/>
    <d v="2024-03-29T00:00:00"/>
    <x v="1"/>
    <x v="0"/>
    <x v="0"/>
    <s v="Yes"/>
    <x v="0"/>
    <s v="Yes"/>
    <n v="20"/>
    <n v="3"/>
    <x v="3"/>
  </r>
  <r>
    <n v="3264"/>
    <x v="33"/>
    <x v="2"/>
    <d v="2024-03-30T00:00:00"/>
    <x v="0"/>
    <x v="2"/>
    <x v="2"/>
    <s v="No"/>
    <x v="1"/>
    <s v="Yes"/>
    <n v="20"/>
    <n v="15"/>
    <x v="7"/>
  </r>
  <r>
    <n v="3265"/>
    <x v="34"/>
    <x v="1"/>
    <d v="2024-03-31T00:00:00"/>
    <x v="1"/>
    <x v="1"/>
    <x v="0"/>
    <s v="No"/>
    <x v="1"/>
    <s v="No"/>
    <n v="0"/>
    <n v="1"/>
    <x v="4"/>
  </r>
  <r>
    <n v="3266"/>
    <x v="35"/>
    <x v="1"/>
    <d v="2024-04-01T00:00:00"/>
    <x v="0"/>
    <x v="1"/>
    <x v="0"/>
    <s v="No"/>
    <x v="1"/>
    <s v="No"/>
    <n v="0"/>
    <n v="0"/>
    <x v="1"/>
  </r>
  <r>
    <n v="3267"/>
    <x v="36"/>
    <x v="0"/>
    <d v="2024-04-02T00:00:00"/>
    <x v="1"/>
    <x v="0"/>
    <x v="2"/>
    <s v="Yes"/>
    <x v="0"/>
    <s v="Yes"/>
    <n v="20"/>
    <n v="7"/>
    <x v="12"/>
  </r>
  <r>
    <n v="3268"/>
    <x v="37"/>
    <x v="2"/>
    <d v="2024-04-03T00:00:00"/>
    <x v="0"/>
    <x v="2"/>
    <x v="1"/>
    <s v="No"/>
    <x v="1"/>
    <s v="Yes"/>
    <n v="20"/>
    <n v="10"/>
    <x v="2"/>
  </r>
  <r>
    <n v="3269"/>
    <x v="38"/>
    <x v="1"/>
    <d v="2024-04-04T00:00:00"/>
    <x v="1"/>
    <x v="1"/>
    <x v="2"/>
    <s v="No"/>
    <x v="1"/>
    <s v="No"/>
    <n v="0"/>
    <n v="1"/>
    <x v="4"/>
  </r>
  <r>
    <n v="3270"/>
    <x v="39"/>
    <x v="0"/>
    <d v="2024-04-05T00:00:00"/>
    <x v="0"/>
    <x v="0"/>
    <x v="0"/>
    <s v="Yes"/>
    <x v="0"/>
    <s v="Yes"/>
    <n v="20"/>
    <n v="15"/>
    <x v="14"/>
  </r>
  <r>
    <n v="3271"/>
    <x v="40"/>
    <x v="2"/>
    <d v="2024-04-06T00:00:00"/>
    <x v="1"/>
    <x v="2"/>
    <x v="0"/>
    <s v="No"/>
    <x v="1"/>
    <s v="Yes"/>
    <n v="20"/>
    <n v="5"/>
    <x v="13"/>
  </r>
  <r>
    <n v="3272"/>
    <x v="41"/>
    <x v="1"/>
    <d v="2024-04-07T00:00:00"/>
    <x v="0"/>
    <x v="1"/>
    <x v="1"/>
    <s v="No"/>
    <x v="1"/>
    <s v="No"/>
    <n v="0"/>
    <n v="0"/>
    <x v="1"/>
  </r>
  <r>
    <n v="3273"/>
    <x v="42"/>
    <x v="0"/>
    <d v="2024-04-08T00:00:00"/>
    <x v="1"/>
    <x v="0"/>
    <x v="2"/>
    <s v="Yes"/>
    <x v="0"/>
    <s v="Yes"/>
    <n v="20"/>
    <n v="20"/>
    <x v="8"/>
  </r>
  <r>
    <n v="3274"/>
    <x v="43"/>
    <x v="2"/>
    <d v="2024-04-09T00:00:00"/>
    <x v="0"/>
    <x v="2"/>
    <x v="2"/>
    <s v="No"/>
    <x v="1"/>
    <s v="Yes"/>
    <n v="20"/>
    <n v="12"/>
    <x v="10"/>
  </r>
  <r>
    <n v="3275"/>
    <x v="44"/>
    <x v="1"/>
    <d v="2024-04-10T00:00:00"/>
    <x v="1"/>
    <x v="1"/>
    <x v="0"/>
    <s v="No"/>
    <x v="1"/>
    <s v="No"/>
    <n v="0"/>
    <n v="2"/>
    <x v="11"/>
  </r>
  <r>
    <n v="3276"/>
    <x v="45"/>
    <x v="0"/>
    <d v="2024-04-11T00:00:00"/>
    <x v="0"/>
    <x v="0"/>
    <x v="1"/>
    <s v="Yes"/>
    <x v="0"/>
    <s v="Yes"/>
    <n v="20"/>
    <n v="5"/>
    <x v="0"/>
  </r>
  <r>
    <n v="3277"/>
    <x v="46"/>
    <x v="2"/>
    <d v="2024-04-12T00:00:00"/>
    <x v="1"/>
    <x v="2"/>
    <x v="0"/>
    <s v="No"/>
    <x v="1"/>
    <s v="Yes"/>
    <n v="20"/>
    <n v="10"/>
    <x v="2"/>
  </r>
  <r>
    <n v="3278"/>
    <x v="47"/>
    <x v="1"/>
    <d v="2024-04-13T00:00:00"/>
    <x v="0"/>
    <x v="1"/>
    <x v="2"/>
    <s v="No"/>
    <x v="1"/>
    <s v="No"/>
    <n v="0"/>
    <n v="0"/>
    <x v="1"/>
  </r>
  <r>
    <n v="3279"/>
    <x v="48"/>
    <x v="0"/>
    <d v="2024-04-14T00:00:00"/>
    <x v="1"/>
    <x v="0"/>
    <x v="0"/>
    <s v="Yes"/>
    <x v="0"/>
    <s v="Yes"/>
    <n v="20"/>
    <n v="3"/>
    <x v="3"/>
  </r>
  <r>
    <n v="3280"/>
    <x v="49"/>
    <x v="2"/>
    <d v="2024-04-15T00:00:00"/>
    <x v="0"/>
    <x v="2"/>
    <x v="1"/>
    <s v="No"/>
    <x v="1"/>
    <s v="Yes"/>
    <n v="20"/>
    <n v="15"/>
    <x v="7"/>
  </r>
  <r>
    <n v="3281"/>
    <x v="50"/>
    <x v="1"/>
    <d v="2024-04-16T00:00:00"/>
    <x v="1"/>
    <x v="1"/>
    <x v="0"/>
    <s v="No"/>
    <x v="1"/>
    <s v="No"/>
    <n v="0"/>
    <n v="1"/>
    <x v="4"/>
  </r>
  <r>
    <n v="3282"/>
    <x v="51"/>
    <x v="0"/>
    <d v="2024-04-17T00:00:00"/>
    <x v="0"/>
    <x v="0"/>
    <x v="2"/>
    <s v="Yes"/>
    <x v="0"/>
    <s v="Yes"/>
    <n v="20"/>
    <n v="7"/>
    <x v="12"/>
  </r>
  <r>
    <n v="3283"/>
    <x v="52"/>
    <x v="2"/>
    <d v="2024-04-18T00:00:00"/>
    <x v="1"/>
    <x v="2"/>
    <x v="0"/>
    <s v="No"/>
    <x v="1"/>
    <s v="Yes"/>
    <n v="20"/>
    <n v="10"/>
    <x v="2"/>
  </r>
  <r>
    <n v="3284"/>
    <x v="53"/>
    <x v="1"/>
    <d v="2024-04-19T00:00:00"/>
    <x v="0"/>
    <x v="1"/>
    <x v="1"/>
    <s v="No"/>
    <x v="1"/>
    <s v="No"/>
    <n v="0"/>
    <n v="0"/>
    <x v="1"/>
  </r>
  <r>
    <n v="3285"/>
    <x v="54"/>
    <x v="0"/>
    <d v="2024-04-20T00:00:00"/>
    <x v="1"/>
    <x v="0"/>
    <x v="0"/>
    <s v="Yes"/>
    <x v="0"/>
    <s v="Yes"/>
    <n v="20"/>
    <n v="20"/>
    <x v="8"/>
  </r>
  <r>
    <n v="3286"/>
    <x v="55"/>
    <x v="2"/>
    <d v="2024-04-21T00:00:00"/>
    <x v="0"/>
    <x v="2"/>
    <x v="2"/>
    <s v="No"/>
    <x v="1"/>
    <s v="Yes"/>
    <n v="20"/>
    <n v="15"/>
    <x v="7"/>
  </r>
  <r>
    <n v="3287"/>
    <x v="56"/>
    <x v="1"/>
    <d v="2024-04-22T00:00:00"/>
    <x v="1"/>
    <x v="1"/>
    <x v="0"/>
    <s v="No"/>
    <x v="1"/>
    <s v="No"/>
    <n v="0"/>
    <n v="1"/>
    <x v="4"/>
  </r>
  <r>
    <n v="3288"/>
    <x v="57"/>
    <x v="0"/>
    <d v="2024-04-23T00:00:00"/>
    <x v="0"/>
    <x v="0"/>
    <x v="1"/>
    <s v="Yes"/>
    <x v="0"/>
    <s v="Yes"/>
    <n v="20"/>
    <n v="3"/>
    <x v="3"/>
  </r>
  <r>
    <n v="3289"/>
    <x v="58"/>
    <x v="2"/>
    <d v="2024-04-24T00:00:00"/>
    <x v="1"/>
    <x v="2"/>
    <x v="0"/>
    <s v="No"/>
    <x v="1"/>
    <s v="Yes"/>
    <n v="20"/>
    <n v="10"/>
    <x v="2"/>
  </r>
  <r>
    <n v="3290"/>
    <x v="59"/>
    <x v="1"/>
    <d v="2024-04-25T00:00:00"/>
    <x v="0"/>
    <x v="1"/>
    <x v="2"/>
    <s v="No"/>
    <x v="1"/>
    <s v="No"/>
    <n v="0"/>
    <n v="0"/>
    <x v="1"/>
  </r>
  <r>
    <n v="3291"/>
    <x v="60"/>
    <x v="0"/>
    <d v="2024-04-26T00:00:00"/>
    <x v="1"/>
    <x v="0"/>
    <x v="0"/>
    <s v="Yes"/>
    <x v="0"/>
    <s v="Yes"/>
    <n v="20"/>
    <n v="5"/>
    <x v="0"/>
  </r>
  <r>
    <n v="3292"/>
    <x v="61"/>
    <x v="2"/>
    <d v="2024-04-27T00:00:00"/>
    <x v="0"/>
    <x v="2"/>
    <x v="1"/>
    <s v="No"/>
    <x v="1"/>
    <s v="Yes"/>
    <n v="20"/>
    <n v="15"/>
    <x v="7"/>
  </r>
  <r>
    <n v="3293"/>
    <x v="62"/>
    <x v="1"/>
    <d v="2024-04-28T00:00:00"/>
    <x v="1"/>
    <x v="1"/>
    <x v="0"/>
    <s v="No"/>
    <x v="1"/>
    <s v="No"/>
    <n v="0"/>
    <n v="1"/>
    <x v="4"/>
  </r>
  <r>
    <n v="3294"/>
    <x v="63"/>
    <x v="0"/>
    <d v="2024-04-29T00:00:00"/>
    <x v="0"/>
    <x v="0"/>
    <x v="2"/>
    <s v="Yes"/>
    <x v="0"/>
    <s v="Yes"/>
    <n v="20"/>
    <n v="20"/>
    <x v="8"/>
  </r>
  <r>
    <n v="3295"/>
    <x v="64"/>
    <x v="2"/>
    <d v="2024-04-30T00:00:00"/>
    <x v="1"/>
    <x v="2"/>
    <x v="0"/>
    <s v="No"/>
    <x v="1"/>
    <s v="Yes"/>
    <n v="20"/>
    <n v="5"/>
    <x v="13"/>
  </r>
  <r>
    <n v="3296"/>
    <x v="65"/>
    <x v="1"/>
    <d v="2024-05-01T00:00:00"/>
    <x v="1"/>
    <x v="1"/>
    <x v="0"/>
    <s v="No"/>
    <x v="1"/>
    <s v="No"/>
    <n v="0"/>
    <n v="0"/>
    <x v="1"/>
  </r>
  <r>
    <n v="3297"/>
    <x v="66"/>
    <x v="0"/>
    <d v="2024-05-02T00:00:00"/>
    <x v="0"/>
    <x v="0"/>
    <x v="2"/>
    <s v="Yes"/>
    <x v="0"/>
    <s v="Yes"/>
    <n v="20"/>
    <n v="7"/>
    <x v="12"/>
  </r>
  <r>
    <n v="3298"/>
    <x v="67"/>
    <x v="2"/>
    <d v="2024-05-03T00:00:00"/>
    <x v="1"/>
    <x v="2"/>
    <x v="1"/>
    <s v="No"/>
    <x v="1"/>
    <s v="Yes"/>
    <n v="20"/>
    <n v="10"/>
    <x v="2"/>
  </r>
  <r>
    <n v="3299"/>
    <x v="68"/>
    <x v="1"/>
    <d v="2024-05-04T00:00:00"/>
    <x v="0"/>
    <x v="1"/>
    <x v="2"/>
    <s v="No"/>
    <x v="1"/>
    <s v="No"/>
    <n v="0"/>
    <n v="1"/>
    <x v="4"/>
  </r>
  <r>
    <n v="3300"/>
    <x v="69"/>
    <x v="0"/>
    <d v="2024-05-05T00:00:00"/>
    <x v="1"/>
    <x v="0"/>
    <x v="0"/>
    <s v="Yes"/>
    <x v="0"/>
    <s v="Yes"/>
    <n v="20"/>
    <n v="15"/>
    <x v="14"/>
  </r>
  <r>
    <n v="3301"/>
    <x v="70"/>
    <x v="2"/>
    <d v="2024-05-06T00:00:00"/>
    <x v="0"/>
    <x v="2"/>
    <x v="0"/>
    <s v="No"/>
    <x v="1"/>
    <s v="Yes"/>
    <n v="20"/>
    <n v="5"/>
    <x v="13"/>
  </r>
  <r>
    <n v="3302"/>
    <x v="71"/>
    <x v="1"/>
    <d v="2024-05-07T00:00:00"/>
    <x v="1"/>
    <x v="1"/>
    <x v="1"/>
    <s v="No"/>
    <x v="1"/>
    <s v="No"/>
    <n v="0"/>
    <n v="0"/>
    <x v="1"/>
  </r>
  <r>
    <n v="3303"/>
    <x v="72"/>
    <x v="0"/>
    <d v="2024-05-08T00:00:00"/>
    <x v="0"/>
    <x v="0"/>
    <x v="2"/>
    <s v="Yes"/>
    <x v="0"/>
    <s v="Yes"/>
    <n v="20"/>
    <n v="20"/>
    <x v="8"/>
  </r>
  <r>
    <n v="3304"/>
    <x v="73"/>
    <x v="2"/>
    <d v="2024-05-09T00:00:00"/>
    <x v="1"/>
    <x v="2"/>
    <x v="2"/>
    <s v="No"/>
    <x v="1"/>
    <s v="Yes"/>
    <n v="20"/>
    <n v="12"/>
    <x v="10"/>
  </r>
  <r>
    <n v="3305"/>
    <x v="74"/>
    <x v="1"/>
    <d v="2024-05-10T00:00:00"/>
    <x v="0"/>
    <x v="1"/>
    <x v="0"/>
    <s v="No"/>
    <x v="1"/>
    <s v="No"/>
    <n v="0"/>
    <n v="2"/>
    <x v="11"/>
  </r>
  <r>
    <n v="3306"/>
    <x v="75"/>
    <x v="0"/>
    <d v="2024-05-11T00:00:00"/>
    <x v="1"/>
    <x v="0"/>
    <x v="1"/>
    <s v="Yes"/>
    <x v="0"/>
    <s v="Yes"/>
    <n v="20"/>
    <n v="5"/>
    <x v="0"/>
  </r>
  <r>
    <n v="3307"/>
    <x v="76"/>
    <x v="2"/>
    <d v="2024-05-12T00:00:00"/>
    <x v="0"/>
    <x v="2"/>
    <x v="0"/>
    <s v="No"/>
    <x v="1"/>
    <s v="Yes"/>
    <n v="20"/>
    <n v="10"/>
    <x v="2"/>
  </r>
  <r>
    <n v="3308"/>
    <x v="77"/>
    <x v="1"/>
    <d v="2024-05-13T00:00:00"/>
    <x v="1"/>
    <x v="1"/>
    <x v="2"/>
    <s v="No"/>
    <x v="1"/>
    <s v="No"/>
    <n v="0"/>
    <n v="0"/>
    <x v="1"/>
  </r>
  <r>
    <n v="3309"/>
    <x v="78"/>
    <x v="0"/>
    <d v="2024-05-14T00:00:00"/>
    <x v="0"/>
    <x v="0"/>
    <x v="0"/>
    <s v="Yes"/>
    <x v="0"/>
    <s v="Yes"/>
    <n v="20"/>
    <n v="3"/>
    <x v="3"/>
  </r>
  <r>
    <n v="3310"/>
    <x v="79"/>
    <x v="2"/>
    <d v="2024-05-15T00:00:00"/>
    <x v="1"/>
    <x v="2"/>
    <x v="1"/>
    <s v="No"/>
    <x v="1"/>
    <s v="Yes"/>
    <n v="20"/>
    <n v="15"/>
    <x v="7"/>
  </r>
  <r>
    <n v="3311"/>
    <x v="80"/>
    <x v="1"/>
    <d v="2024-05-16T00:00:00"/>
    <x v="0"/>
    <x v="1"/>
    <x v="0"/>
    <s v="No"/>
    <x v="1"/>
    <s v="No"/>
    <n v="0"/>
    <n v="1"/>
    <x v="4"/>
  </r>
  <r>
    <n v="3312"/>
    <x v="81"/>
    <x v="0"/>
    <d v="2024-05-17T00:00:00"/>
    <x v="1"/>
    <x v="0"/>
    <x v="2"/>
    <s v="Yes"/>
    <x v="0"/>
    <s v="Yes"/>
    <n v="20"/>
    <n v="7"/>
    <x v="12"/>
  </r>
  <r>
    <n v="3313"/>
    <x v="82"/>
    <x v="2"/>
    <d v="2024-05-18T00:00:00"/>
    <x v="0"/>
    <x v="2"/>
    <x v="0"/>
    <s v="No"/>
    <x v="1"/>
    <s v="Yes"/>
    <n v="20"/>
    <n v="10"/>
    <x v="2"/>
  </r>
  <r>
    <n v="3314"/>
    <x v="83"/>
    <x v="1"/>
    <d v="2024-05-19T00:00:00"/>
    <x v="1"/>
    <x v="1"/>
    <x v="1"/>
    <s v="No"/>
    <x v="1"/>
    <s v="No"/>
    <n v="0"/>
    <n v="0"/>
    <x v="1"/>
  </r>
  <r>
    <n v="3315"/>
    <x v="84"/>
    <x v="0"/>
    <d v="2024-05-20T00:00:00"/>
    <x v="0"/>
    <x v="0"/>
    <x v="0"/>
    <s v="Yes"/>
    <x v="0"/>
    <s v="Yes"/>
    <n v="20"/>
    <n v="20"/>
    <x v="8"/>
  </r>
  <r>
    <n v="3316"/>
    <x v="85"/>
    <x v="2"/>
    <d v="2024-05-21T00:00:00"/>
    <x v="1"/>
    <x v="2"/>
    <x v="2"/>
    <s v="No"/>
    <x v="1"/>
    <s v="Yes"/>
    <n v="20"/>
    <n v="15"/>
    <x v="7"/>
  </r>
  <r>
    <n v="3317"/>
    <x v="86"/>
    <x v="1"/>
    <d v="2024-05-22T00:00:00"/>
    <x v="0"/>
    <x v="1"/>
    <x v="0"/>
    <s v="No"/>
    <x v="1"/>
    <s v="No"/>
    <n v="0"/>
    <n v="1"/>
    <x v="4"/>
  </r>
  <r>
    <n v="3318"/>
    <x v="87"/>
    <x v="0"/>
    <d v="2024-05-23T00:00:00"/>
    <x v="1"/>
    <x v="0"/>
    <x v="1"/>
    <s v="Yes"/>
    <x v="0"/>
    <s v="Yes"/>
    <n v="20"/>
    <n v="3"/>
    <x v="3"/>
  </r>
  <r>
    <n v="3319"/>
    <x v="88"/>
    <x v="2"/>
    <d v="2024-05-24T00:00:00"/>
    <x v="0"/>
    <x v="2"/>
    <x v="0"/>
    <s v="No"/>
    <x v="1"/>
    <s v="Yes"/>
    <n v="20"/>
    <n v="10"/>
    <x v="2"/>
  </r>
  <r>
    <n v="3320"/>
    <x v="89"/>
    <x v="1"/>
    <d v="2024-05-25T00:00:00"/>
    <x v="1"/>
    <x v="1"/>
    <x v="2"/>
    <s v="No"/>
    <x v="1"/>
    <s v="No"/>
    <n v="0"/>
    <n v="0"/>
    <x v="1"/>
  </r>
  <r>
    <n v="3321"/>
    <x v="90"/>
    <x v="0"/>
    <d v="2024-05-26T00:00:00"/>
    <x v="0"/>
    <x v="0"/>
    <x v="0"/>
    <s v="Yes"/>
    <x v="0"/>
    <s v="Yes"/>
    <n v="20"/>
    <n v="5"/>
    <x v="0"/>
  </r>
  <r>
    <n v="3322"/>
    <x v="91"/>
    <x v="2"/>
    <d v="2024-05-27T00:00:00"/>
    <x v="1"/>
    <x v="2"/>
    <x v="1"/>
    <s v="No"/>
    <x v="1"/>
    <s v="Yes"/>
    <n v="20"/>
    <n v="15"/>
    <x v="7"/>
  </r>
  <r>
    <n v="3323"/>
    <x v="92"/>
    <x v="1"/>
    <d v="2024-05-28T00:00:00"/>
    <x v="0"/>
    <x v="1"/>
    <x v="0"/>
    <s v="No"/>
    <x v="1"/>
    <s v="No"/>
    <n v="0"/>
    <n v="1"/>
    <x v="4"/>
  </r>
  <r>
    <n v="3324"/>
    <x v="93"/>
    <x v="0"/>
    <d v="2024-05-29T00:00:00"/>
    <x v="1"/>
    <x v="0"/>
    <x v="2"/>
    <s v="Yes"/>
    <x v="0"/>
    <s v="Yes"/>
    <n v="20"/>
    <n v="20"/>
    <x v="8"/>
  </r>
  <r>
    <n v="3325"/>
    <x v="94"/>
    <x v="2"/>
    <d v="2024-05-30T00:00:00"/>
    <x v="0"/>
    <x v="2"/>
    <x v="2"/>
    <s v="No"/>
    <x v="1"/>
    <s v="Yes"/>
    <n v="20"/>
    <n v="15"/>
    <x v="7"/>
  </r>
  <r>
    <n v="3326"/>
    <x v="95"/>
    <x v="1"/>
    <d v="2024-05-31T00:00:00"/>
    <x v="1"/>
    <x v="1"/>
    <x v="1"/>
    <s v="No"/>
    <x v="1"/>
    <s v="No"/>
    <n v="0"/>
    <n v="0"/>
    <x v="1"/>
  </r>
  <r>
    <n v="3327"/>
    <x v="96"/>
    <x v="0"/>
    <d v="2024-06-01T00:00:00"/>
    <x v="0"/>
    <x v="0"/>
    <x v="0"/>
    <s v="Yes"/>
    <x v="0"/>
    <s v="Yes"/>
    <n v="20"/>
    <n v="7"/>
    <x v="12"/>
  </r>
  <r>
    <n v="3328"/>
    <x v="97"/>
    <x v="2"/>
    <d v="2024-06-02T00:00:00"/>
    <x v="1"/>
    <x v="2"/>
    <x v="1"/>
    <s v="No"/>
    <x v="1"/>
    <s v="Yes"/>
    <n v="20"/>
    <n v="10"/>
    <x v="2"/>
  </r>
  <r>
    <n v="3329"/>
    <x v="98"/>
    <x v="1"/>
    <d v="2024-06-03T00:00:00"/>
    <x v="0"/>
    <x v="1"/>
    <x v="2"/>
    <s v="No"/>
    <x v="1"/>
    <s v="No"/>
    <n v="0"/>
    <n v="1"/>
    <x v="4"/>
  </r>
  <r>
    <n v="3330"/>
    <x v="99"/>
    <x v="0"/>
    <d v="2024-06-04T00:00:00"/>
    <x v="1"/>
    <x v="0"/>
    <x v="0"/>
    <s v="Yes"/>
    <x v="0"/>
    <s v="Yes"/>
    <n v="20"/>
    <n v="15"/>
    <x v="14"/>
  </r>
  <r>
    <n v="3331"/>
    <x v="100"/>
    <x v="2"/>
    <d v="2024-06-05T00:00:00"/>
    <x v="0"/>
    <x v="2"/>
    <x v="0"/>
    <s v="No"/>
    <x v="1"/>
    <s v="Yes"/>
    <n v="20"/>
    <n v="5"/>
    <x v="13"/>
  </r>
  <r>
    <n v="3332"/>
    <x v="101"/>
    <x v="1"/>
    <d v="2024-06-06T00:00:00"/>
    <x v="1"/>
    <x v="1"/>
    <x v="1"/>
    <s v="No"/>
    <x v="1"/>
    <s v="No"/>
    <n v="0"/>
    <n v="0"/>
    <x v="1"/>
  </r>
  <r>
    <n v="3333"/>
    <x v="102"/>
    <x v="0"/>
    <d v="2024-06-07T00:00:00"/>
    <x v="0"/>
    <x v="0"/>
    <x v="2"/>
    <s v="Yes"/>
    <x v="0"/>
    <s v="Yes"/>
    <n v="20"/>
    <n v="20"/>
    <x v="8"/>
  </r>
  <r>
    <n v="3334"/>
    <x v="103"/>
    <x v="2"/>
    <d v="2024-06-08T00:00:00"/>
    <x v="1"/>
    <x v="2"/>
    <x v="2"/>
    <s v="No"/>
    <x v="1"/>
    <s v="Yes"/>
    <n v="20"/>
    <n v="12"/>
    <x v="10"/>
  </r>
  <r>
    <n v="3335"/>
    <x v="104"/>
    <x v="1"/>
    <d v="2024-06-09T00:00:00"/>
    <x v="0"/>
    <x v="1"/>
    <x v="0"/>
    <s v="No"/>
    <x v="1"/>
    <s v="No"/>
    <n v="0"/>
    <n v="2"/>
    <x v="11"/>
  </r>
  <r>
    <n v="3336"/>
    <x v="105"/>
    <x v="1"/>
    <d v="2024-06-10T00:00:00"/>
    <x v="0"/>
    <x v="1"/>
    <x v="0"/>
    <s v="No"/>
    <x v="1"/>
    <s v="No"/>
    <n v="0"/>
    <n v="0"/>
    <x v="1"/>
  </r>
  <r>
    <n v="3337"/>
    <x v="106"/>
    <x v="0"/>
    <d v="2024-06-11T00:00:00"/>
    <x v="1"/>
    <x v="0"/>
    <x v="2"/>
    <s v="Yes"/>
    <x v="0"/>
    <s v="Yes"/>
    <n v="20"/>
    <n v="7"/>
    <x v="12"/>
  </r>
  <r>
    <n v="3338"/>
    <x v="107"/>
    <x v="2"/>
    <d v="2024-06-12T00:00:00"/>
    <x v="0"/>
    <x v="2"/>
    <x v="1"/>
    <s v="No"/>
    <x v="1"/>
    <s v="Yes"/>
    <n v="20"/>
    <n v="10"/>
    <x v="2"/>
  </r>
  <r>
    <n v="3339"/>
    <x v="108"/>
    <x v="1"/>
    <d v="2024-06-13T00:00:00"/>
    <x v="1"/>
    <x v="1"/>
    <x v="2"/>
    <s v="No"/>
    <x v="1"/>
    <s v="No"/>
    <n v="0"/>
    <n v="1"/>
    <x v="4"/>
  </r>
  <r>
    <n v="3340"/>
    <x v="109"/>
    <x v="0"/>
    <d v="2024-06-14T00:00:00"/>
    <x v="0"/>
    <x v="0"/>
    <x v="0"/>
    <s v="Yes"/>
    <x v="0"/>
    <s v="Yes"/>
    <n v="20"/>
    <n v="15"/>
    <x v="14"/>
  </r>
  <r>
    <n v="3341"/>
    <x v="110"/>
    <x v="2"/>
    <d v="2024-06-15T00:00:00"/>
    <x v="1"/>
    <x v="2"/>
    <x v="0"/>
    <s v="No"/>
    <x v="1"/>
    <s v="Yes"/>
    <n v="20"/>
    <n v="5"/>
    <x v="13"/>
  </r>
  <r>
    <n v="3342"/>
    <x v="111"/>
    <x v="1"/>
    <d v="2024-06-16T00:00:00"/>
    <x v="0"/>
    <x v="1"/>
    <x v="1"/>
    <s v="No"/>
    <x v="1"/>
    <s v="No"/>
    <n v="0"/>
    <n v="0"/>
    <x v="1"/>
  </r>
  <r>
    <n v="3343"/>
    <x v="112"/>
    <x v="0"/>
    <d v="2024-06-17T00:00:00"/>
    <x v="1"/>
    <x v="0"/>
    <x v="2"/>
    <s v="Yes"/>
    <x v="0"/>
    <s v="Yes"/>
    <n v="20"/>
    <n v="20"/>
    <x v="8"/>
  </r>
  <r>
    <n v="3344"/>
    <x v="113"/>
    <x v="2"/>
    <d v="2024-06-18T00:00:00"/>
    <x v="0"/>
    <x v="2"/>
    <x v="2"/>
    <s v="No"/>
    <x v="1"/>
    <s v="Yes"/>
    <n v="20"/>
    <n v="12"/>
    <x v="10"/>
  </r>
  <r>
    <n v="3345"/>
    <x v="114"/>
    <x v="1"/>
    <d v="2024-06-19T00:00:00"/>
    <x v="1"/>
    <x v="1"/>
    <x v="0"/>
    <s v="No"/>
    <x v="1"/>
    <s v="No"/>
    <n v="0"/>
    <n v="2"/>
    <x v="11"/>
  </r>
  <r>
    <n v="3346"/>
    <x v="115"/>
    <x v="0"/>
    <d v="2024-06-20T00:00:00"/>
    <x v="0"/>
    <x v="0"/>
    <x v="1"/>
    <s v="Yes"/>
    <x v="0"/>
    <s v="Yes"/>
    <n v="20"/>
    <n v="5"/>
    <x v="0"/>
  </r>
  <r>
    <n v="3347"/>
    <x v="116"/>
    <x v="2"/>
    <d v="2024-06-21T00:00:00"/>
    <x v="1"/>
    <x v="2"/>
    <x v="0"/>
    <s v="No"/>
    <x v="1"/>
    <s v="Yes"/>
    <n v="20"/>
    <n v="10"/>
    <x v="2"/>
  </r>
  <r>
    <n v="3348"/>
    <x v="117"/>
    <x v="1"/>
    <d v="2024-06-22T00:00:00"/>
    <x v="0"/>
    <x v="1"/>
    <x v="2"/>
    <s v="No"/>
    <x v="1"/>
    <s v="No"/>
    <n v="0"/>
    <n v="0"/>
    <x v="1"/>
  </r>
  <r>
    <n v="3349"/>
    <x v="93"/>
    <x v="0"/>
    <d v="2024-06-23T00:00:00"/>
    <x v="1"/>
    <x v="0"/>
    <x v="0"/>
    <s v="Yes"/>
    <x v="0"/>
    <s v="Yes"/>
    <n v="20"/>
    <n v="3"/>
    <x v="3"/>
  </r>
  <r>
    <n v="3350"/>
    <x v="118"/>
    <x v="2"/>
    <d v="2024-06-24T00:00:00"/>
    <x v="0"/>
    <x v="2"/>
    <x v="1"/>
    <s v="No"/>
    <x v="1"/>
    <s v="Yes"/>
    <n v="20"/>
    <n v="15"/>
    <x v="7"/>
  </r>
  <r>
    <n v="3351"/>
    <x v="119"/>
    <x v="1"/>
    <d v="2024-06-25T00:00:00"/>
    <x v="1"/>
    <x v="1"/>
    <x v="0"/>
    <s v="No"/>
    <x v="1"/>
    <s v="No"/>
    <n v="0"/>
    <n v="1"/>
    <x v="4"/>
  </r>
  <r>
    <n v="3352"/>
    <x v="120"/>
    <x v="0"/>
    <d v="2024-06-26T00:00:00"/>
    <x v="0"/>
    <x v="0"/>
    <x v="2"/>
    <s v="Yes"/>
    <x v="0"/>
    <s v="Yes"/>
    <n v="20"/>
    <n v="7"/>
    <x v="12"/>
  </r>
  <r>
    <n v="3353"/>
    <x v="121"/>
    <x v="2"/>
    <d v="2024-06-27T00:00:00"/>
    <x v="1"/>
    <x v="2"/>
    <x v="0"/>
    <s v="No"/>
    <x v="1"/>
    <s v="Yes"/>
    <n v="20"/>
    <n v="10"/>
    <x v="2"/>
  </r>
  <r>
    <n v="3354"/>
    <x v="122"/>
    <x v="1"/>
    <d v="2024-06-28T00:00:00"/>
    <x v="0"/>
    <x v="1"/>
    <x v="1"/>
    <s v="No"/>
    <x v="1"/>
    <s v="No"/>
    <n v="0"/>
    <n v="0"/>
    <x v="1"/>
  </r>
  <r>
    <n v="3355"/>
    <x v="123"/>
    <x v="0"/>
    <d v="2024-06-29T00:00:00"/>
    <x v="1"/>
    <x v="0"/>
    <x v="0"/>
    <s v="Yes"/>
    <x v="0"/>
    <s v="Yes"/>
    <n v="20"/>
    <n v="20"/>
    <x v="8"/>
  </r>
  <r>
    <n v="3356"/>
    <x v="124"/>
    <x v="2"/>
    <d v="2024-06-30T00:00:00"/>
    <x v="0"/>
    <x v="2"/>
    <x v="2"/>
    <s v="No"/>
    <x v="1"/>
    <s v="Yes"/>
    <n v="20"/>
    <n v="15"/>
    <x v="7"/>
  </r>
  <r>
    <n v="3357"/>
    <x v="125"/>
    <x v="1"/>
    <d v="2024-07-01T00:00:00"/>
    <x v="1"/>
    <x v="1"/>
    <x v="0"/>
    <s v="No"/>
    <x v="1"/>
    <s v="No"/>
    <n v="0"/>
    <n v="1"/>
    <x v="4"/>
  </r>
  <r>
    <n v="3358"/>
    <x v="126"/>
    <x v="0"/>
    <d v="2024-07-02T00:00:00"/>
    <x v="0"/>
    <x v="0"/>
    <x v="1"/>
    <s v="Yes"/>
    <x v="0"/>
    <s v="Yes"/>
    <n v="20"/>
    <n v="3"/>
    <x v="3"/>
  </r>
  <r>
    <n v="3359"/>
    <x v="127"/>
    <x v="2"/>
    <d v="2024-07-03T00:00:00"/>
    <x v="1"/>
    <x v="2"/>
    <x v="0"/>
    <s v="No"/>
    <x v="1"/>
    <s v="Yes"/>
    <n v="20"/>
    <n v="10"/>
    <x v="2"/>
  </r>
  <r>
    <n v="3360"/>
    <x v="128"/>
    <x v="1"/>
    <d v="2024-07-04T00:00:00"/>
    <x v="0"/>
    <x v="1"/>
    <x v="2"/>
    <s v="No"/>
    <x v="1"/>
    <s v="No"/>
    <n v="0"/>
    <n v="0"/>
    <x v="1"/>
  </r>
  <r>
    <n v="3361"/>
    <x v="129"/>
    <x v="0"/>
    <d v="2024-07-05T00:00:00"/>
    <x v="1"/>
    <x v="0"/>
    <x v="0"/>
    <s v="Yes"/>
    <x v="0"/>
    <s v="Yes"/>
    <n v="20"/>
    <n v="15"/>
    <x v="14"/>
  </r>
  <r>
    <n v="3362"/>
    <x v="130"/>
    <x v="2"/>
    <d v="2024-07-06T00:00:00"/>
    <x v="0"/>
    <x v="2"/>
    <x v="1"/>
    <s v="No"/>
    <x v="1"/>
    <s v="Yes"/>
    <n v="20"/>
    <n v="15"/>
    <x v="7"/>
  </r>
  <r>
    <n v="3363"/>
    <x v="131"/>
    <x v="1"/>
    <d v="2024-07-07T00:00:00"/>
    <x v="1"/>
    <x v="1"/>
    <x v="0"/>
    <s v="No"/>
    <x v="1"/>
    <s v="No"/>
    <n v="0"/>
    <n v="1"/>
    <x v="4"/>
  </r>
  <r>
    <n v="3364"/>
    <x v="132"/>
    <x v="0"/>
    <d v="2024-07-08T00:00:00"/>
    <x v="0"/>
    <x v="0"/>
    <x v="2"/>
    <s v="Yes"/>
    <x v="0"/>
    <s v="Yes"/>
    <n v="20"/>
    <n v="7"/>
    <x v="12"/>
  </r>
  <r>
    <n v="3365"/>
    <x v="133"/>
    <x v="2"/>
    <d v="2024-07-09T00:00:00"/>
    <x v="1"/>
    <x v="2"/>
    <x v="0"/>
    <s v="No"/>
    <x v="1"/>
    <s v="Yes"/>
    <n v="20"/>
    <n v="10"/>
    <x v="2"/>
  </r>
  <r>
    <n v="3366"/>
    <x v="134"/>
    <x v="1"/>
    <d v="2024-07-10T00:00:00"/>
    <x v="0"/>
    <x v="1"/>
    <x v="0"/>
    <s v="No"/>
    <x v="1"/>
    <s v="No"/>
    <n v="0"/>
    <n v="0"/>
    <x v="1"/>
  </r>
  <r>
    <n v="3367"/>
    <x v="135"/>
    <x v="0"/>
    <d v="2024-07-11T00:00:00"/>
    <x v="1"/>
    <x v="0"/>
    <x v="2"/>
    <s v="Yes"/>
    <x v="0"/>
    <s v="Yes"/>
    <n v="20"/>
    <n v="7"/>
    <x v="12"/>
  </r>
  <r>
    <n v="3368"/>
    <x v="136"/>
    <x v="2"/>
    <d v="2024-07-12T00:00:00"/>
    <x v="0"/>
    <x v="2"/>
    <x v="1"/>
    <s v="No"/>
    <x v="1"/>
    <s v="Yes"/>
    <n v="20"/>
    <n v="10"/>
    <x v="2"/>
  </r>
  <r>
    <n v="3369"/>
    <x v="137"/>
    <x v="1"/>
    <d v="2024-07-13T00:00:00"/>
    <x v="1"/>
    <x v="1"/>
    <x v="2"/>
    <s v="No"/>
    <x v="1"/>
    <s v="No"/>
    <n v="0"/>
    <n v="1"/>
    <x v="4"/>
  </r>
  <r>
    <n v="3370"/>
    <x v="138"/>
    <x v="0"/>
    <d v="2024-07-14T00:00:00"/>
    <x v="0"/>
    <x v="0"/>
    <x v="0"/>
    <s v="Yes"/>
    <x v="0"/>
    <s v="Yes"/>
    <n v="20"/>
    <n v="15"/>
    <x v="14"/>
  </r>
  <r>
    <n v="3371"/>
    <x v="139"/>
    <x v="2"/>
    <d v="2024-07-15T00:00:00"/>
    <x v="1"/>
    <x v="2"/>
    <x v="0"/>
    <s v="No"/>
    <x v="1"/>
    <s v="Yes"/>
    <n v="20"/>
    <n v="5"/>
    <x v="13"/>
  </r>
  <r>
    <n v="3372"/>
    <x v="140"/>
    <x v="1"/>
    <d v="2024-07-16T00:00:00"/>
    <x v="0"/>
    <x v="1"/>
    <x v="1"/>
    <s v="No"/>
    <x v="1"/>
    <s v="No"/>
    <n v="0"/>
    <n v="0"/>
    <x v="1"/>
  </r>
  <r>
    <n v="3373"/>
    <x v="141"/>
    <x v="0"/>
    <d v="2024-07-17T00:00:00"/>
    <x v="1"/>
    <x v="0"/>
    <x v="2"/>
    <s v="Yes"/>
    <x v="0"/>
    <s v="Yes"/>
    <n v="20"/>
    <n v="20"/>
    <x v="8"/>
  </r>
  <r>
    <n v="3374"/>
    <x v="142"/>
    <x v="2"/>
    <d v="2024-07-18T00:00:00"/>
    <x v="0"/>
    <x v="2"/>
    <x v="2"/>
    <s v="No"/>
    <x v="1"/>
    <s v="Yes"/>
    <n v="20"/>
    <n v="12"/>
    <x v="10"/>
  </r>
  <r>
    <n v="3375"/>
    <x v="143"/>
    <x v="1"/>
    <d v="2024-07-19T00:00:00"/>
    <x v="1"/>
    <x v="1"/>
    <x v="0"/>
    <s v="No"/>
    <x v="1"/>
    <s v="No"/>
    <n v="0"/>
    <n v="2"/>
    <x v="11"/>
  </r>
  <r>
    <n v="3376"/>
    <x v="144"/>
    <x v="0"/>
    <d v="2024-07-20T00:00:00"/>
    <x v="0"/>
    <x v="0"/>
    <x v="1"/>
    <s v="Yes"/>
    <x v="0"/>
    <s v="Yes"/>
    <n v="20"/>
    <n v="5"/>
    <x v="0"/>
  </r>
  <r>
    <n v="3377"/>
    <x v="145"/>
    <x v="2"/>
    <d v="2024-07-21T00:00:00"/>
    <x v="1"/>
    <x v="2"/>
    <x v="0"/>
    <s v="No"/>
    <x v="1"/>
    <s v="Yes"/>
    <n v="20"/>
    <n v="10"/>
    <x v="2"/>
  </r>
  <r>
    <n v="3378"/>
    <x v="146"/>
    <x v="1"/>
    <d v="2024-07-22T00:00:00"/>
    <x v="0"/>
    <x v="1"/>
    <x v="2"/>
    <s v="No"/>
    <x v="1"/>
    <s v="No"/>
    <n v="0"/>
    <n v="0"/>
    <x v="1"/>
  </r>
  <r>
    <n v="3379"/>
    <x v="147"/>
    <x v="0"/>
    <d v="2024-07-23T00:00:00"/>
    <x v="1"/>
    <x v="0"/>
    <x v="0"/>
    <s v="Yes"/>
    <x v="0"/>
    <s v="Yes"/>
    <n v="20"/>
    <n v="3"/>
    <x v="3"/>
  </r>
  <r>
    <n v="3380"/>
    <x v="148"/>
    <x v="2"/>
    <d v="2024-07-24T00:00:00"/>
    <x v="0"/>
    <x v="2"/>
    <x v="1"/>
    <s v="No"/>
    <x v="1"/>
    <s v="Yes"/>
    <n v="20"/>
    <n v="15"/>
    <x v="7"/>
  </r>
  <r>
    <n v="3381"/>
    <x v="149"/>
    <x v="1"/>
    <d v="2024-07-25T00:00:00"/>
    <x v="1"/>
    <x v="1"/>
    <x v="0"/>
    <s v="No"/>
    <x v="1"/>
    <s v="No"/>
    <n v="0"/>
    <n v="1"/>
    <x v="4"/>
  </r>
  <r>
    <n v="3382"/>
    <x v="150"/>
    <x v="0"/>
    <d v="2024-07-26T00:00:00"/>
    <x v="0"/>
    <x v="0"/>
    <x v="2"/>
    <s v="Yes"/>
    <x v="0"/>
    <s v="Yes"/>
    <n v="20"/>
    <n v="7"/>
    <x v="12"/>
  </r>
  <r>
    <n v="3383"/>
    <x v="151"/>
    <x v="2"/>
    <d v="2024-07-27T00:00:00"/>
    <x v="1"/>
    <x v="2"/>
    <x v="0"/>
    <s v="No"/>
    <x v="1"/>
    <s v="Yes"/>
    <n v="20"/>
    <n v="10"/>
    <x v="2"/>
  </r>
  <r>
    <n v="3384"/>
    <x v="152"/>
    <x v="1"/>
    <d v="2024-07-28T00:00:00"/>
    <x v="0"/>
    <x v="1"/>
    <x v="1"/>
    <s v="No"/>
    <x v="1"/>
    <s v="No"/>
    <n v="0"/>
    <n v="0"/>
    <x v="1"/>
  </r>
  <r>
    <n v="3385"/>
    <x v="153"/>
    <x v="0"/>
    <d v="2024-07-29T00:00:00"/>
    <x v="1"/>
    <x v="0"/>
    <x v="0"/>
    <s v="Yes"/>
    <x v="0"/>
    <s v="Yes"/>
    <n v="20"/>
    <n v="20"/>
    <x v="8"/>
  </r>
  <r>
    <n v="3386"/>
    <x v="154"/>
    <x v="2"/>
    <d v="2024-07-30T00:00:00"/>
    <x v="0"/>
    <x v="2"/>
    <x v="2"/>
    <s v="No"/>
    <x v="1"/>
    <s v="Yes"/>
    <n v="20"/>
    <n v="15"/>
    <x v="7"/>
  </r>
  <r>
    <n v="3387"/>
    <x v="155"/>
    <x v="1"/>
    <d v="2024-07-31T00:00:00"/>
    <x v="1"/>
    <x v="1"/>
    <x v="0"/>
    <s v="No"/>
    <x v="1"/>
    <s v="No"/>
    <n v="0"/>
    <n v="1"/>
    <x v="4"/>
  </r>
  <r>
    <n v="3388"/>
    <x v="156"/>
    <x v="0"/>
    <d v="2024-08-01T00:00:00"/>
    <x v="0"/>
    <x v="0"/>
    <x v="1"/>
    <s v="Yes"/>
    <x v="0"/>
    <s v="Yes"/>
    <n v="20"/>
    <n v="3"/>
    <x v="3"/>
  </r>
  <r>
    <n v="3389"/>
    <x v="157"/>
    <x v="2"/>
    <d v="2024-08-02T00:00:00"/>
    <x v="1"/>
    <x v="2"/>
    <x v="0"/>
    <s v="No"/>
    <x v="1"/>
    <s v="Yes"/>
    <n v="20"/>
    <n v="10"/>
    <x v="2"/>
  </r>
  <r>
    <n v="3390"/>
    <x v="158"/>
    <x v="1"/>
    <d v="2024-08-03T00:00:00"/>
    <x v="0"/>
    <x v="1"/>
    <x v="2"/>
    <s v="No"/>
    <x v="1"/>
    <s v="No"/>
    <n v="0"/>
    <n v="0"/>
    <x v="1"/>
  </r>
  <r>
    <n v="3391"/>
    <x v="58"/>
    <x v="0"/>
    <d v="2024-08-04T00:00:00"/>
    <x v="1"/>
    <x v="0"/>
    <x v="0"/>
    <s v="Yes"/>
    <x v="0"/>
    <s v="Yes"/>
    <n v="20"/>
    <n v="15"/>
    <x v="14"/>
  </r>
  <r>
    <n v="3392"/>
    <x v="159"/>
    <x v="2"/>
    <d v="2024-08-05T00:00:00"/>
    <x v="0"/>
    <x v="2"/>
    <x v="1"/>
    <s v="No"/>
    <x v="1"/>
    <s v="Yes"/>
    <n v="20"/>
    <n v="15"/>
    <x v="7"/>
  </r>
  <r>
    <n v="3393"/>
    <x v="160"/>
    <x v="1"/>
    <d v="2024-08-06T00:00:00"/>
    <x v="1"/>
    <x v="1"/>
    <x v="0"/>
    <s v="No"/>
    <x v="1"/>
    <s v="No"/>
    <n v="0"/>
    <n v="1"/>
    <x v="4"/>
  </r>
  <r>
    <n v="3394"/>
    <x v="161"/>
    <x v="0"/>
    <d v="2024-08-07T00:00:00"/>
    <x v="0"/>
    <x v="0"/>
    <x v="2"/>
    <s v="Yes"/>
    <x v="0"/>
    <s v="Yes"/>
    <n v="20"/>
    <n v="7"/>
    <x v="12"/>
  </r>
  <r>
    <n v="3395"/>
    <x v="162"/>
    <x v="2"/>
    <d v="2024-08-08T00:00:00"/>
    <x v="1"/>
    <x v="2"/>
    <x v="0"/>
    <s v="No"/>
    <x v="1"/>
    <s v="Yes"/>
    <n v="20"/>
    <n v="10"/>
    <x v="2"/>
  </r>
  <r>
    <n v="3396"/>
    <x v="163"/>
    <x v="1"/>
    <d v="2024-08-09T00:00:00"/>
    <x v="0"/>
    <x v="1"/>
    <x v="1"/>
    <s v="No"/>
    <x v="1"/>
    <s v="No"/>
    <n v="0"/>
    <n v="0"/>
    <x v="1"/>
  </r>
  <r>
    <n v="3397"/>
    <x v="90"/>
    <x v="0"/>
    <d v="2024-08-10T00:00:00"/>
    <x v="1"/>
    <x v="0"/>
    <x v="0"/>
    <s v="Yes"/>
    <x v="0"/>
    <s v="Yes"/>
    <n v="20"/>
    <n v="20"/>
    <x v="8"/>
  </r>
  <r>
    <n v="3398"/>
    <x v="164"/>
    <x v="2"/>
    <d v="2024-08-11T00:00:00"/>
    <x v="0"/>
    <x v="2"/>
    <x v="2"/>
    <s v="No"/>
    <x v="1"/>
    <s v="Yes"/>
    <n v="20"/>
    <n v="15"/>
    <x v="7"/>
  </r>
  <r>
    <n v="3399"/>
    <x v="165"/>
    <x v="1"/>
    <d v="2024-08-12T00:00:00"/>
    <x v="1"/>
    <x v="1"/>
    <x v="0"/>
    <s v="No"/>
    <x v="1"/>
    <s v="No"/>
    <n v="0"/>
    <n v="1"/>
    <x v="4"/>
  </r>
  <r>
    <n v="3400"/>
    <x v="166"/>
    <x v="0"/>
    <d v="2024-08-13T00:00:00"/>
    <x v="0"/>
    <x v="0"/>
    <x v="1"/>
    <s v="Yes"/>
    <x v="0"/>
    <s v="Yes"/>
    <n v="20"/>
    <n v="5"/>
    <x v="0"/>
  </r>
  <r>
    <n v="3401"/>
    <x v="167"/>
    <x v="2"/>
    <d v="2024-08-14T00:00:00"/>
    <x v="1"/>
    <x v="2"/>
    <x v="0"/>
    <s v="No"/>
    <x v="1"/>
    <s v="Yes"/>
    <n v="20"/>
    <n v="10"/>
    <x v="2"/>
  </r>
  <r>
    <n v="3402"/>
    <x v="168"/>
    <x v="1"/>
    <d v="2024-08-15T00:00:00"/>
    <x v="0"/>
    <x v="1"/>
    <x v="2"/>
    <s v="No"/>
    <x v="1"/>
    <s v="No"/>
    <n v="0"/>
    <n v="0"/>
    <x v="1"/>
  </r>
  <r>
    <n v="3403"/>
    <x v="169"/>
    <x v="0"/>
    <d v="2024-08-16T00:00:00"/>
    <x v="1"/>
    <x v="0"/>
    <x v="0"/>
    <s v="Yes"/>
    <x v="0"/>
    <s v="Yes"/>
    <n v="20"/>
    <n v="3"/>
    <x v="3"/>
  </r>
  <r>
    <n v="3404"/>
    <x v="170"/>
    <x v="2"/>
    <d v="2024-08-17T00:00:00"/>
    <x v="0"/>
    <x v="2"/>
    <x v="1"/>
    <s v="No"/>
    <x v="1"/>
    <s v="Yes"/>
    <n v="20"/>
    <n v="15"/>
    <x v="7"/>
  </r>
  <r>
    <n v="3405"/>
    <x v="171"/>
    <x v="1"/>
    <d v="2024-08-18T00:00:00"/>
    <x v="1"/>
    <x v="1"/>
    <x v="0"/>
    <s v="No"/>
    <x v="1"/>
    <s v="No"/>
    <n v="0"/>
    <n v="1"/>
    <x v="4"/>
  </r>
  <r>
    <n v="3406"/>
    <x v="172"/>
    <x v="1"/>
    <d v="2024-08-19T00:00:00"/>
    <x v="0"/>
    <x v="1"/>
    <x v="0"/>
    <s v="No"/>
    <x v="1"/>
    <s v="No"/>
    <n v="0"/>
    <n v="0"/>
    <x v="1"/>
  </r>
  <r>
    <n v="3407"/>
    <x v="173"/>
    <x v="0"/>
    <d v="2024-08-20T00:00:00"/>
    <x v="1"/>
    <x v="0"/>
    <x v="2"/>
    <s v="Yes"/>
    <x v="0"/>
    <s v="Yes"/>
    <n v="20"/>
    <n v="7"/>
    <x v="12"/>
  </r>
  <r>
    <n v="3408"/>
    <x v="174"/>
    <x v="2"/>
    <d v="2024-08-21T00:00:00"/>
    <x v="0"/>
    <x v="2"/>
    <x v="1"/>
    <s v="No"/>
    <x v="1"/>
    <s v="Yes"/>
    <n v="20"/>
    <n v="10"/>
    <x v="2"/>
  </r>
  <r>
    <n v="3409"/>
    <x v="175"/>
    <x v="1"/>
    <d v="2024-08-22T00:00:00"/>
    <x v="1"/>
    <x v="1"/>
    <x v="2"/>
    <s v="No"/>
    <x v="1"/>
    <s v="No"/>
    <n v="0"/>
    <n v="1"/>
    <x v="4"/>
  </r>
  <r>
    <n v="3410"/>
    <x v="176"/>
    <x v="0"/>
    <d v="2024-08-23T00:00:00"/>
    <x v="0"/>
    <x v="0"/>
    <x v="0"/>
    <s v="Yes"/>
    <x v="0"/>
    <s v="Yes"/>
    <n v="20"/>
    <n v="15"/>
    <x v="14"/>
  </r>
  <r>
    <n v="3411"/>
    <x v="177"/>
    <x v="2"/>
    <d v="2024-08-24T00:00:00"/>
    <x v="1"/>
    <x v="2"/>
    <x v="0"/>
    <s v="No"/>
    <x v="1"/>
    <s v="Yes"/>
    <n v="20"/>
    <n v="5"/>
    <x v="13"/>
  </r>
  <r>
    <n v="3412"/>
    <x v="178"/>
    <x v="1"/>
    <d v="2024-08-25T00:00:00"/>
    <x v="0"/>
    <x v="1"/>
    <x v="1"/>
    <s v="No"/>
    <x v="1"/>
    <s v="No"/>
    <n v="0"/>
    <n v="0"/>
    <x v="1"/>
  </r>
  <r>
    <n v="3413"/>
    <x v="179"/>
    <x v="0"/>
    <d v="2024-08-26T00:00:00"/>
    <x v="1"/>
    <x v="0"/>
    <x v="2"/>
    <s v="Yes"/>
    <x v="0"/>
    <s v="Yes"/>
    <n v="20"/>
    <n v="20"/>
    <x v="8"/>
  </r>
  <r>
    <n v="3414"/>
    <x v="180"/>
    <x v="2"/>
    <d v="2024-08-27T00:00:00"/>
    <x v="0"/>
    <x v="2"/>
    <x v="2"/>
    <s v="No"/>
    <x v="1"/>
    <s v="Yes"/>
    <n v="20"/>
    <n v="12"/>
    <x v="10"/>
  </r>
  <r>
    <n v="3415"/>
    <x v="181"/>
    <x v="1"/>
    <d v="2024-08-28T00:00:00"/>
    <x v="1"/>
    <x v="1"/>
    <x v="0"/>
    <s v="No"/>
    <x v="1"/>
    <s v="No"/>
    <n v="0"/>
    <n v="2"/>
    <x v="11"/>
  </r>
  <r>
    <n v="3416"/>
    <x v="182"/>
    <x v="0"/>
    <d v="2024-08-29T00:00:00"/>
    <x v="0"/>
    <x v="0"/>
    <x v="1"/>
    <s v="Yes"/>
    <x v="0"/>
    <s v="Yes"/>
    <n v="20"/>
    <n v="5"/>
    <x v="0"/>
  </r>
  <r>
    <n v="3417"/>
    <x v="183"/>
    <x v="2"/>
    <d v="2024-08-30T00:00:00"/>
    <x v="1"/>
    <x v="2"/>
    <x v="0"/>
    <s v="No"/>
    <x v="1"/>
    <s v="Yes"/>
    <n v="20"/>
    <n v="10"/>
    <x v="2"/>
  </r>
  <r>
    <n v="3418"/>
    <x v="184"/>
    <x v="1"/>
    <d v="2024-08-31T00:00:00"/>
    <x v="0"/>
    <x v="1"/>
    <x v="2"/>
    <s v="No"/>
    <x v="1"/>
    <s v="No"/>
    <n v="0"/>
    <n v="0"/>
    <x v="1"/>
  </r>
  <r>
    <n v="3419"/>
    <x v="185"/>
    <x v="0"/>
    <d v="2024-09-01T00:00:00"/>
    <x v="1"/>
    <x v="0"/>
    <x v="0"/>
    <s v="Yes"/>
    <x v="0"/>
    <s v="Yes"/>
    <n v="20"/>
    <n v="3"/>
    <x v="3"/>
  </r>
  <r>
    <n v="3420"/>
    <x v="186"/>
    <x v="2"/>
    <d v="2024-09-02T00:00:00"/>
    <x v="0"/>
    <x v="2"/>
    <x v="1"/>
    <s v="No"/>
    <x v="1"/>
    <s v="Yes"/>
    <n v="20"/>
    <n v="15"/>
    <x v="7"/>
  </r>
  <r>
    <n v="3421"/>
    <x v="15"/>
    <x v="1"/>
    <d v="2024-09-03T00:00:00"/>
    <x v="1"/>
    <x v="1"/>
    <x v="0"/>
    <s v="No"/>
    <x v="1"/>
    <s v="No"/>
    <n v="0"/>
    <n v="1"/>
    <x v="4"/>
  </r>
  <r>
    <n v="3422"/>
    <x v="187"/>
    <x v="0"/>
    <d v="2024-09-04T00:00:00"/>
    <x v="0"/>
    <x v="0"/>
    <x v="2"/>
    <s v="Yes"/>
    <x v="0"/>
    <s v="Yes"/>
    <n v="20"/>
    <n v="7"/>
    <x v="12"/>
  </r>
  <r>
    <n v="3423"/>
    <x v="188"/>
    <x v="2"/>
    <d v="2024-09-05T00:00:00"/>
    <x v="1"/>
    <x v="2"/>
    <x v="0"/>
    <s v="No"/>
    <x v="1"/>
    <s v="Yes"/>
    <n v="20"/>
    <n v="10"/>
    <x v="2"/>
  </r>
  <r>
    <n v="3424"/>
    <x v="14"/>
    <x v="1"/>
    <d v="2024-09-06T00:00:00"/>
    <x v="0"/>
    <x v="1"/>
    <x v="1"/>
    <s v="No"/>
    <x v="1"/>
    <s v="No"/>
    <n v="0"/>
    <n v="0"/>
    <x v="1"/>
  </r>
  <r>
    <n v="3425"/>
    <x v="189"/>
    <x v="0"/>
    <d v="2024-09-07T00:00:00"/>
    <x v="1"/>
    <x v="0"/>
    <x v="0"/>
    <s v="Yes"/>
    <x v="0"/>
    <s v="Yes"/>
    <n v="20"/>
    <n v="20"/>
    <x v="8"/>
  </r>
  <r>
    <n v="3426"/>
    <x v="167"/>
    <x v="2"/>
    <d v="2024-09-08T00:00:00"/>
    <x v="0"/>
    <x v="2"/>
    <x v="2"/>
    <s v="No"/>
    <x v="1"/>
    <s v="Yes"/>
    <n v="20"/>
    <n v="15"/>
    <x v="7"/>
  </r>
  <r>
    <n v="3427"/>
    <x v="190"/>
    <x v="1"/>
    <d v="2024-09-09T00:00:00"/>
    <x v="1"/>
    <x v="1"/>
    <x v="0"/>
    <s v="No"/>
    <x v="1"/>
    <s v="No"/>
    <n v="0"/>
    <n v="1"/>
    <x v="4"/>
  </r>
  <r>
    <n v="3428"/>
    <x v="191"/>
    <x v="0"/>
    <d v="2024-09-10T00:00:00"/>
    <x v="0"/>
    <x v="0"/>
    <x v="1"/>
    <s v="Yes"/>
    <x v="0"/>
    <s v="Yes"/>
    <n v="20"/>
    <n v="3"/>
    <x v="3"/>
  </r>
  <r>
    <n v="3429"/>
    <x v="192"/>
    <x v="2"/>
    <d v="2024-09-11T00:00:00"/>
    <x v="1"/>
    <x v="2"/>
    <x v="0"/>
    <s v="No"/>
    <x v="1"/>
    <s v="Yes"/>
    <n v="20"/>
    <n v="10"/>
    <x v="2"/>
  </r>
  <r>
    <n v="3430"/>
    <x v="193"/>
    <x v="1"/>
    <d v="2024-09-12T00:00:00"/>
    <x v="0"/>
    <x v="1"/>
    <x v="2"/>
    <s v="No"/>
    <x v="1"/>
    <s v="No"/>
    <n v="0"/>
    <n v="0"/>
    <x v="1"/>
  </r>
  <r>
    <n v="3431"/>
    <x v="194"/>
    <x v="0"/>
    <d v="2024-09-13T00:00:00"/>
    <x v="1"/>
    <x v="0"/>
    <x v="0"/>
    <s v="Yes"/>
    <x v="0"/>
    <s v="Yes"/>
    <n v="20"/>
    <n v="15"/>
    <x v="14"/>
  </r>
  <r>
    <n v="3432"/>
    <x v="195"/>
    <x v="2"/>
    <d v="2024-09-14T00:00:00"/>
    <x v="0"/>
    <x v="2"/>
    <x v="1"/>
    <s v="No"/>
    <x v="1"/>
    <s v="Yes"/>
    <n v="20"/>
    <n v="15"/>
    <x v="7"/>
  </r>
  <r>
    <n v="3433"/>
    <x v="196"/>
    <x v="1"/>
    <d v="2024-09-15T00:00:00"/>
    <x v="1"/>
    <x v="1"/>
    <x v="0"/>
    <s v="No"/>
    <x v="1"/>
    <s v="No"/>
    <n v="0"/>
    <n v="1"/>
    <x v="4"/>
  </r>
  <r>
    <n v="3434"/>
    <x v="197"/>
    <x v="0"/>
    <d v="2024-09-16T00:00:00"/>
    <x v="0"/>
    <x v="0"/>
    <x v="2"/>
    <s v="Yes"/>
    <x v="0"/>
    <s v="Yes"/>
    <n v="20"/>
    <n v="7"/>
    <x v="12"/>
  </r>
  <r>
    <n v="3435"/>
    <x v="198"/>
    <x v="2"/>
    <d v="2024-09-17T00:00:00"/>
    <x v="1"/>
    <x v="2"/>
    <x v="0"/>
    <s v="No"/>
    <x v="1"/>
    <s v="Yes"/>
    <n v="20"/>
    <n v="10"/>
    <x v="2"/>
  </r>
  <r>
    <n v="3436"/>
    <x v="199"/>
    <x v="1"/>
    <d v="2024-09-18T00:00:00"/>
    <x v="0"/>
    <x v="1"/>
    <x v="0"/>
    <s v="No"/>
    <x v="1"/>
    <s v="No"/>
    <n v="0"/>
    <n v="0"/>
    <x v="1"/>
  </r>
  <r>
    <n v="3437"/>
    <x v="200"/>
    <x v="0"/>
    <d v="2024-09-19T00:00:00"/>
    <x v="1"/>
    <x v="0"/>
    <x v="2"/>
    <s v="Yes"/>
    <x v="0"/>
    <s v="Yes"/>
    <n v="20"/>
    <n v="7"/>
    <x v="12"/>
  </r>
  <r>
    <n v="3438"/>
    <x v="201"/>
    <x v="2"/>
    <d v="2024-09-20T00:00:00"/>
    <x v="0"/>
    <x v="2"/>
    <x v="1"/>
    <s v="No"/>
    <x v="1"/>
    <s v="Yes"/>
    <n v="20"/>
    <n v="10"/>
    <x v="2"/>
  </r>
  <r>
    <n v="3439"/>
    <x v="202"/>
    <x v="1"/>
    <d v="2024-09-21T00:00:00"/>
    <x v="1"/>
    <x v="1"/>
    <x v="2"/>
    <s v="No"/>
    <x v="1"/>
    <s v="No"/>
    <n v="0"/>
    <n v="1"/>
    <x v="4"/>
  </r>
  <r>
    <n v="3440"/>
    <x v="203"/>
    <x v="0"/>
    <d v="2024-09-22T00:00:00"/>
    <x v="0"/>
    <x v="0"/>
    <x v="0"/>
    <s v="Yes"/>
    <x v="0"/>
    <s v="Yes"/>
    <n v="20"/>
    <n v="15"/>
    <x v="14"/>
  </r>
  <r>
    <n v="3441"/>
    <x v="204"/>
    <x v="2"/>
    <d v="2024-09-23T00:00:00"/>
    <x v="1"/>
    <x v="2"/>
    <x v="0"/>
    <s v="No"/>
    <x v="1"/>
    <s v="Yes"/>
    <n v="20"/>
    <n v="5"/>
    <x v="13"/>
  </r>
  <r>
    <n v="3442"/>
    <x v="205"/>
    <x v="1"/>
    <d v="2024-09-24T00:00:00"/>
    <x v="0"/>
    <x v="1"/>
    <x v="1"/>
    <s v="No"/>
    <x v="1"/>
    <s v="No"/>
    <n v="0"/>
    <n v="0"/>
    <x v="1"/>
  </r>
  <r>
    <n v="3443"/>
    <x v="206"/>
    <x v="0"/>
    <d v="2024-09-25T00:00:00"/>
    <x v="1"/>
    <x v="0"/>
    <x v="2"/>
    <s v="Yes"/>
    <x v="0"/>
    <s v="Yes"/>
    <n v="20"/>
    <n v="20"/>
    <x v="8"/>
  </r>
  <r>
    <n v="3444"/>
    <x v="207"/>
    <x v="2"/>
    <d v="2024-09-26T00:00:00"/>
    <x v="0"/>
    <x v="2"/>
    <x v="2"/>
    <s v="No"/>
    <x v="1"/>
    <s v="Yes"/>
    <n v="20"/>
    <n v="12"/>
    <x v="10"/>
  </r>
  <r>
    <n v="3445"/>
    <x v="37"/>
    <x v="1"/>
    <d v="2024-09-27T00:00:00"/>
    <x v="1"/>
    <x v="1"/>
    <x v="0"/>
    <s v="No"/>
    <x v="1"/>
    <s v="No"/>
    <n v="0"/>
    <n v="2"/>
    <x v="11"/>
  </r>
  <r>
    <n v="3446"/>
    <x v="208"/>
    <x v="0"/>
    <d v="2024-09-28T00:00:00"/>
    <x v="0"/>
    <x v="0"/>
    <x v="1"/>
    <s v="Yes"/>
    <x v="0"/>
    <s v="Yes"/>
    <n v="20"/>
    <n v="5"/>
    <x v="0"/>
  </r>
  <r>
    <n v="3447"/>
    <x v="209"/>
    <x v="2"/>
    <d v="2024-09-29T00:00:00"/>
    <x v="1"/>
    <x v="2"/>
    <x v="0"/>
    <s v="No"/>
    <x v="1"/>
    <s v="Yes"/>
    <n v="20"/>
    <n v="10"/>
    <x v="2"/>
  </r>
  <r>
    <n v="3448"/>
    <x v="210"/>
    <x v="1"/>
    <d v="2024-09-30T00:00:00"/>
    <x v="0"/>
    <x v="1"/>
    <x v="2"/>
    <s v="No"/>
    <x v="1"/>
    <s v="No"/>
    <n v="0"/>
    <n v="0"/>
    <x v="1"/>
  </r>
  <r>
    <n v="3449"/>
    <x v="211"/>
    <x v="0"/>
    <d v="2024-10-01T00:00:00"/>
    <x v="1"/>
    <x v="0"/>
    <x v="0"/>
    <s v="Yes"/>
    <x v="0"/>
    <s v="Yes"/>
    <n v="20"/>
    <n v="3"/>
    <x v="3"/>
  </r>
  <r>
    <n v="3450"/>
    <x v="212"/>
    <x v="2"/>
    <d v="2024-10-02T00:00:00"/>
    <x v="0"/>
    <x v="2"/>
    <x v="1"/>
    <s v="No"/>
    <x v="1"/>
    <s v="Yes"/>
    <n v="20"/>
    <n v="15"/>
    <x v="7"/>
  </r>
  <r>
    <n v="3451"/>
    <x v="213"/>
    <x v="1"/>
    <d v="2024-10-03T00:00:00"/>
    <x v="1"/>
    <x v="1"/>
    <x v="0"/>
    <s v="No"/>
    <x v="1"/>
    <s v="No"/>
    <n v="0"/>
    <n v="1"/>
    <x v="4"/>
  </r>
  <r>
    <n v="3452"/>
    <x v="191"/>
    <x v="0"/>
    <d v="2024-10-04T00:00:00"/>
    <x v="0"/>
    <x v="0"/>
    <x v="2"/>
    <s v="Yes"/>
    <x v="0"/>
    <s v="Yes"/>
    <n v="20"/>
    <n v="7"/>
    <x v="12"/>
  </r>
  <r>
    <n v="3453"/>
    <x v="45"/>
    <x v="2"/>
    <d v="2024-10-05T00:00:00"/>
    <x v="1"/>
    <x v="2"/>
    <x v="0"/>
    <s v="No"/>
    <x v="1"/>
    <s v="Yes"/>
    <n v="20"/>
    <n v="10"/>
    <x v="2"/>
  </r>
  <r>
    <n v="3454"/>
    <x v="214"/>
    <x v="1"/>
    <d v="2024-10-06T00:00:00"/>
    <x v="0"/>
    <x v="1"/>
    <x v="1"/>
    <s v="No"/>
    <x v="1"/>
    <s v="No"/>
    <n v="0"/>
    <n v="0"/>
    <x v="1"/>
  </r>
  <r>
    <n v="3455"/>
    <x v="215"/>
    <x v="0"/>
    <d v="2024-10-07T00:00:00"/>
    <x v="1"/>
    <x v="0"/>
    <x v="0"/>
    <s v="Yes"/>
    <x v="0"/>
    <s v="Yes"/>
    <n v="20"/>
    <n v="20"/>
    <x v="8"/>
  </r>
  <r>
    <n v="3456"/>
    <x v="216"/>
    <x v="2"/>
    <d v="2024-10-08T00:00:00"/>
    <x v="0"/>
    <x v="2"/>
    <x v="2"/>
    <s v="No"/>
    <x v="1"/>
    <s v="Yes"/>
    <n v="20"/>
    <n v="15"/>
    <x v="7"/>
  </r>
  <r>
    <n v="3457"/>
    <x v="217"/>
    <x v="1"/>
    <d v="2024-10-09T00:00:00"/>
    <x v="1"/>
    <x v="1"/>
    <x v="0"/>
    <s v="No"/>
    <x v="1"/>
    <s v="No"/>
    <n v="0"/>
    <n v="1"/>
    <x v="4"/>
  </r>
  <r>
    <n v="3458"/>
    <x v="218"/>
    <x v="0"/>
    <d v="2024-10-10T00:00:00"/>
    <x v="0"/>
    <x v="0"/>
    <x v="1"/>
    <s v="Yes"/>
    <x v="0"/>
    <s v="Yes"/>
    <n v="20"/>
    <n v="3"/>
    <x v="3"/>
  </r>
  <r>
    <n v="3459"/>
    <x v="219"/>
    <x v="2"/>
    <d v="2024-10-11T00:00:00"/>
    <x v="1"/>
    <x v="2"/>
    <x v="0"/>
    <s v="No"/>
    <x v="1"/>
    <s v="Yes"/>
    <n v="20"/>
    <n v="10"/>
    <x v="2"/>
  </r>
  <r>
    <n v="3460"/>
    <x v="127"/>
    <x v="1"/>
    <d v="2024-10-12T00:00:00"/>
    <x v="0"/>
    <x v="1"/>
    <x v="2"/>
    <s v="No"/>
    <x v="1"/>
    <s v="No"/>
    <n v="0"/>
    <n v="0"/>
    <x v="1"/>
  </r>
  <r>
    <n v="3461"/>
    <x v="220"/>
    <x v="0"/>
    <d v="2024-10-13T00:00:00"/>
    <x v="1"/>
    <x v="0"/>
    <x v="0"/>
    <s v="Yes"/>
    <x v="0"/>
    <s v="Yes"/>
    <n v="20"/>
    <n v="15"/>
    <x v="14"/>
  </r>
  <r>
    <n v="3462"/>
    <x v="221"/>
    <x v="2"/>
    <d v="2024-10-14T00:00:00"/>
    <x v="0"/>
    <x v="2"/>
    <x v="1"/>
    <s v="No"/>
    <x v="1"/>
    <s v="Yes"/>
    <n v="20"/>
    <n v="15"/>
    <x v="7"/>
  </r>
  <r>
    <n v="3463"/>
    <x v="222"/>
    <x v="1"/>
    <d v="2024-10-15T00:00:00"/>
    <x v="1"/>
    <x v="1"/>
    <x v="0"/>
    <s v="No"/>
    <x v="1"/>
    <s v="No"/>
    <n v="0"/>
    <n v="1"/>
    <x v="4"/>
  </r>
  <r>
    <n v="3464"/>
    <x v="223"/>
    <x v="0"/>
    <d v="2024-10-16T00:00:00"/>
    <x v="0"/>
    <x v="0"/>
    <x v="2"/>
    <s v="Yes"/>
    <x v="0"/>
    <s v="Yes"/>
    <n v="20"/>
    <n v="7"/>
    <x v="12"/>
  </r>
  <r>
    <n v="3465"/>
    <x v="224"/>
    <x v="2"/>
    <d v="2024-10-17T00:00:00"/>
    <x v="1"/>
    <x v="2"/>
    <x v="0"/>
    <s v="No"/>
    <x v="1"/>
    <s v="Yes"/>
    <n v="20"/>
    <n v="10"/>
    <x v="2"/>
  </r>
  <r>
    <n v="3466"/>
    <x v="225"/>
    <x v="1"/>
    <d v="2024-10-18T00:00:00"/>
    <x v="0"/>
    <x v="1"/>
    <x v="1"/>
    <s v="No"/>
    <x v="1"/>
    <s v="No"/>
    <n v="0"/>
    <n v="0"/>
    <x v="1"/>
  </r>
  <r>
    <n v="3467"/>
    <x v="226"/>
    <x v="0"/>
    <d v="2024-10-19T00:00:00"/>
    <x v="1"/>
    <x v="0"/>
    <x v="0"/>
    <s v="Yes"/>
    <x v="0"/>
    <s v="Yes"/>
    <n v="20"/>
    <n v="15"/>
    <x v="14"/>
  </r>
  <r>
    <n v="3468"/>
    <x v="227"/>
    <x v="2"/>
    <d v="2024-10-20T00:00:00"/>
    <x v="0"/>
    <x v="2"/>
    <x v="2"/>
    <s v="No"/>
    <x v="1"/>
    <s v="Yes"/>
    <n v="20"/>
    <n v="12"/>
    <x v="10"/>
  </r>
  <r>
    <n v="3469"/>
    <x v="228"/>
    <x v="1"/>
    <d v="2024-10-21T00:00:00"/>
    <x v="1"/>
    <x v="1"/>
    <x v="0"/>
    <s v="No"/>
    <x v="1"/>
    <s v="No"/>
    <n v="0"/>
    <n v="2"/>
    <x v="11"/>
  </r>
  <r>
    <n v="3470"/>
    <x v="229"/>
    <x v="0"/>
    <d v="2024-10-22T00:00:00"/>
    <x v="0"/>
    <x v="0"/>
    <x v="1"/>
    <s v="Yes"/>
    <x v="0"/>
    <s v="Yes"/>
    <n v="20"/>
    <n v="5"/>
    <x v="0"/>
  </r>
  <r>
    <n v="3471"/>
    <x v="230"/>
    <x v="2"/>
    <d v="2024-10-23T00:00:00"/>
    <x v="1"/>
    <x v="2"/>
    <x v="0"/>
    <s v="No"/>
    <x v="1"/>
    <s v="Yes"/>
    <n v="20"/>
    <n v="10"/>
    <x v="2"/>
  </r>
  <r>
    <n v="3472"/>
    <x v="231"/>
    <x v="1"/>
    <d v="2024-10-24T00:00:00"/>
    <x v="0"/>
    <x v="1"/>
    <x v="2"/>
    <s v="No"/>
    <x v="1"/>
    <s v="No"/>
    <n v="0"/>
    <n v="0"/>
    <x v="1"/>
  </r>
  <r>
    <n v="3473"/>
    <x v="140"/>
    <x v="0"/>
    <d v="2024-10-25T00:00:00"/>
    <x v="1"/>
    <x v="0"/>
    <x v="0"/>
    <s v="Yes"/>
    <x v="0"/>
    <s v="Yes"/>
    <n v="20"/>
    <n v="3"/>
    <x v="3"/>
  </r>
  <r>
    <n v="3474"/>
    <x v="232"/>
    <x v="2"/>
    <d v="2024-10-26T00:00:00"/>
    <x v="0"/>
    <x v="2"/>
    <x v="1"/>
    <s v="No"/>
    <x v="1"/>
    <s v="Yes"/>
    <n v="20"/>
    <n v="15"/>
    <x v="7"/>
  </r>
  <r>
    <n v="3475"/>
    <x v="233"/>
    <x v="1"/>
    <d v="2024-10-27T00:00:00"/>
    <x v="1"/>
    <x v="1"/>
    <x v="0"/>
    <s v="No"/>
    <x v="1"/>
    <s v="No"/>
    <n v="0"/>
    <n v="1"/>
    <x v="4"/>
  </r>
  <r>
    <n v="3476"/>
    <x v="234"/>
    <x v="0"/>
    <d v="2024-10-28T00:00:00"/>
    <x v="0"/>
    <x v="0"/>
    <x v="2"/>
    <s v="Yes"/>
    <x v="0"/>
    <s v="Yes"/>
    <n v="20"/>
    <n v="7"/>
    <x v="12"/>
  </r>
  <r>
    <n v="3477"/>
    <x v="235"/>
    <x v="2"/>
    <d v="2024-10-29T00:00:00"/>
    <x v="1"/>
    <x v="2"/>
    <x v="0"/>
    <s v="No"/>
    <x v="1"/>
    <s v="Yes"/>
    <n v="20"/>
    <n v="10"/>
    <x v="2"/>
  </r>
  <r>
    <n v="3478"/>
    <x v="236"/>
    <x v="1"/>
    <d v="2024-10-30T00:00:00"/>
    <x v="0"/>
    <x v="1"/>
    <x v="1"/>
    <s v="No"/>
    <x v="1"/>
    <s v="No"/>
    <n v="0"/>
    <n v="0"/>
    <x v="1"/>
  </r>
  <r>
    <n v="3479"/>
    <x v="237"/>
    <x v="0"/>
    <d v="2024-10-31T00:00:00"/>
    <x v="1"/>
    <x v="0"/>
    <x v="0"/>
    <s v="Yes"/>
    <x v="0"/>
    <s v="Yes"/>
    <n v="20"/>
    <n v="20"/>
    <x v="8"/>
  </r>
  <r>
    <n v="3480"/>
    <x v="238"/>
    <x v="2"/>
    <d v="2024-11-01T00:00:00"/>
    <x v="0"/>
    <x v="2"/>
    <x v="2"/>
    <s v="No"/>
    <x v="1"/>
    <s v="Yes"/>
    <n v="20"/>
    <n v="15"/>
    <x v="7"/>
  </r>
  <r>
    <n v="3481"/>
    <x v="239"/>
    <x v="1"/>
    <d v="2024-11-02T00:00:00"/>
    <x v="1"/>
    <x v="1"/>
    <x v="0"/>
    <s v="No"/>
    <x v="1"/>
    <s v="No"/>
    <n v="0"/>
    <n v="1"/>
    <x v="4"/>
  </r>
  <r>
    <n v="3482"/>
    <x v="240"/>
    <x v="0"/>
    <d v="2024-11-03T00:00:00"/>
    <x v="0"/>
    <x v="0"/>
    <x v="1"/>
    <s v="Yes"/>
    <x v="0"/>
    <s v="Yes"/>
    <n v="20"/>
    <n v="3"/>
    <x v="3"/>
  </r>
  <r>
    <n v="3483"/>
    <x v="241"/>
    <x v="2"/>
    <d v="2024-11-04T00:00:00"/>
    <x v="1"/>
    <x v="2"/>
    <x v="0"/>
    <s v="No"/>
    <x v="1"/>
    <s v="Yes"/>
    <n v="20"/>
    <n v="10"/>
    <x v="2"/>
  </r>
  <r>
    <n v="3484"/>
    <x v="242"/>
    <x v="1"/>
    <d v="2024-11-05T00:00:00"/>
    <x v="0"/>
    <x v="1"/>
    <x v="2"/>
    <s v="No"/>
    <x v="1"/>
    <s v="No"/>
    <n v="0"/>
    <n v="0"/>
    <x v="1"/>
  </r>
  <r>
    <n v="3485"/>
    <x v="243"/>
    <x v="0"/>
    <d v="2024-11-06T00:00:00"/>
    <x v="1"/>
    <x v="0"/>
    <x v="0"/>
    <s v="Yes"/>
    <x v="0"/>
    <s v="Yes"/>
    <n v="20"/>
    <n v="15"/>
    <x v="14"/>
  </r>
  <r>
    <n v="3486"/>
    <x v="244"/>
    <x v="1"/>
    <d v="2024-11-07T00:00:00"/>
    <x v="0"/>
    <x v="1"/>
    <x v="0"/>
    <s v="No"/>
    <x v="1"/>
    <s v="No"/>
    <n v="0"/>
    <n v="0"/>
    <x v="1"/>
  </r>
  <r>
    <n v="3487"/>
    <x v="245"/>
    <x v="0"/>
    <d v="2024-11-08T00:00:00"/>
    <x v="1"/>
    <x v="0"/>
    <x v="2"/>
    <s v="Yes"/>
    <x v="0"/>
    <s v="Yes"/>
    <n v="20"/>
    <n v="7"/>
    <x v="12"/>
  </r>
  <r>
    <n v="3488"/>
    <x v="246"/>
    <x v="2"/>
    <d v="2024-11-09T00:00:00"/>
    <x v="0"/>
    <x v="2"/>
    <x v="1"/>
    <s v="No"/>
    <x v="1"/>
    <s v="Yes"/>
    <n v="20"/>
    <n v="10"/>
    <x v="2"/>
  </r>
  <r>
    <n v="3489"/>
    <x v="247"/>
    <x v="1"/>
    <d v="2024-11-10T00:00:00"/>
    <x v="1"/>
    <x v="1"/>
    <x v="2"/>
    <s v="No"/>
    <x v="1"/>
    <s v="No"/>
    <n v="0"/>
    <n v="1"/>
    <x v="4"/>
  </r>
  <r>
    <n v="3490"/>
    <x v="248"/>
    <x v="0"/>
    <d v="2024-11-11T00:00:00"/>
    <x v="0"/>
    <x v="0"/>
    <x v="0"/>
    <s v="Yes"/>
    <x v="0"/>
    <s v="Yes"/>
    <n v="20"/>
    <n v="15"/>
    <x v="14"/>
  </r>
  <r>
    <n v="3491"/>
    <x v="249"/>
    <x v="2"/>
    <d v="2024-11-12T00:00:00"/>
    <x v="1"/>
    <x v="2"/>
    <x v="0"/>
    <s v="No"/>
    <x v="1"/>
    <s v="Yes"/>
    <n v="20"/>
    <n v="5"/>
    <x v="13"/>
  </r>
  <r>
    <n v="3492"/>
    <x v="250"/>
    <x v="1"/>
    <d v="2024-11-13T00:00:00"/>
    <x v="0"/>
    <x v="1"/>
    <x v="1"/>
    <s v="No"/>
    <x v="1"/>
    <s v="No"/>
    <n v="0"/>
    <n v="0"/>
    <x v="1"/>
  </r>
  <r>
    <n v="3493"/>
    <x v="251"/>
    <x v="0"/>
    <d v="2024-11-14T00:00:00"/>
    <x v="1"/>
    <x v="0"/>
    <x v="2"/>
    <s v="Yes"/>
    <x v="0"/>
    <s v="Yes"/>
    <n v="20"/>
    <n v="20"/>
    <x v="8"/>
  </r>
  <r>
    <n v="3494"/>
    <x v="252"/>
    <x v="2"/>
    <d v="2024-11-15T00:00:00"/>
    <x v="0"/>
    <x v="2"/>
    <x v="2"/>
    <s v="No"/>
    <x v="1"/>
    <s v="Yes"/>
    <n v="20"/>
    <n v="12"/>
    <x v="10"/>
  </r>
  <r>
    <n v="3495"/>
    <x v="253"/>
    <x v="1"/>
    <d v="2024-11-16T00:00:00"/>
    <x v="1"/>
    <x v="1"/>
    <x v="0"/>
    <s v="No"/>
    <x v="1"/>
    <s v="No"/>
    <n v="0"/>
    <n v="2"/>
    <x v="11"/>
  </r>
  <r>
    <n v="3496"/>
    <x v="254"/>
    <x v="0"/>
    <d v="2024-11-17T00:00:00"/>
    <x v="0"/>
    <x v="0"/>
    <x v="1"/>
    <s v="Yes"/>
    <x v="0"/>
    <s v="Yes"/>
    <n v="20"/>
    <n v="5"/>
    <x v="0"/>
  </r>
  <r>
    <n v="3497"/>
    <x v="255"/>
    <x v="2"/>
    <d v="2024-11-18T00:00:00"/>
    <x v="1"/>
    <x v="2"/>
    <x v="0"/>
    <s v="No"/>
    <x v="1"/>
    <s v="Yes"/>
    <n v="20"/>
    <n v="10"/>
    <x v="2"/>
  </r>
  <r>
    <n v="3498"/>
    <x v="256"/>
    <x v="1"/>
    <d v="2024-11-19T00:00:00"/>
    <x v="0"/>
    <x v="1"/>
    <x v="2"/>
    <s v="No"/>
    <x v="1"/>
    <s v="No"/>
    <n v="0"/>
    <n v="0"/>
    <x v="1"/>
  </r>
  <r>
    <n v="3499"/>
    <x v="257"/>
    <x v="0"/>
    <d v="2024-11-20T00:00:00"/>
    <x v="1"/>
    <x v="0"/>
    <x v="0"/>
    <s v="Yes"/>
    <x v="0"/>
    <s v="Yes"/>
    <n v="20"/>
    <n v="3"/>
    <x v="3"/>
  </r>
  <r>
    <n v="3500"/>
    <x v="258"/>
    <x v="2"/>
    <d v="2024-11-21T00:00:00"/>
    <x v="0"/>
    <x v="2"/>
    <x v="1"/>
    <s v="No"/>
    <x v="1"/>
    <s v="Yes"/>
    <n v="20"/>
    <n v="15"/>
    <x v="7"/>
  </r>
  <r>
    <n v="3501"/>
    <x v="259"/>
    <x v="1"/>
    <d v="2024-11-22T00:00:00"/>
    <x v="1"/>
    <x v="1"/>
    <x v="0"/>
    <s v="No"/>
    <x v="1"/>
    <s v="No"/>
    <n v="0"/>
    <n v="1"/>
    <x v="4"/>
  </r>
  <r>
    <n v="3502"/>
    <x v="260"/>
    <x v="0"/>
    <d v="2024-11-23T00:00:00"/>
    <x v="0"/>
    <x v="0"/>
    <x v="2"/>
    <s v="Yes"/>
    <x v="0"/>
    <s v="Yes"/>
    <n v="20"/>
    <n v="7"/>
    <x v="12"/>
  </r>
  <r>
    <n v="3503"/>
    <x v="119"/>
    <x v="2"/>
    <d v="2024-11-24T00:00:00"/>
    <x v="1"/>
    <x v="2"/>
    <x v="0"/>
    <s v="No"/>
    <x v="1"/>
    <s v="Yes"/>
    <n v="20"/>
    <n v="10"/>
    <x v="2"/>
  </r>
  <r>
    <n v="3504"/>
    <x v="261"/>
    <x v="1"/>
    <d v="2024-11-25T00:00:00"/>
    <x v="0"/>
    <x v="1"/>
    <x v="1"/>
    <s v="No"/>
    <x v="1"/>
    <s v="No"/>
    <n v="0"/>
    <n v="0"/>
    <x v="1"/>
  </r>
  <r>
    <n v="3505"/>
    <x v="262"/>
    <x v="0"/>
    <d v="2024-11-26T00:00:00"/>
    <x v="1"/>
    <x v="0"/>
    <x v="0"/>
    <s v="Yes"/>
    <x v="0"/>
    <s v="Yes"/>
    <n v="20"/>
    <n v="20"/>
    <x v="8"/>
  </r>
  <r>
    <n v="3506"/>
    <x v="263"/>
    <x v="2"/>
    <d v="2024-11-27T00:00:00"/>
    <x v="0"/>
    <x v="2"/>
    <x v="2"/>
    <s v="No"/>
    <x v="1"/>
    <s v="Yes"/>
    <n v="20"/>
    <n v="15"/>
    <x v="7"/>
  </r>
  <r>
    <n v="3507"/>
    <x v="264"/>
    <x v="1"/>
    <d v="2024-11-28T00:00:00"/>
    <x v="1"/>
    <x v="1"/>
    <x v="0"/>
    <s v="No"/>
    <x v="1"/>
    <s v="No"/>
    <n v="0"/>
    <n v="1"/>
    <x v="4"/>
  </r>
  <r>
    <n v="3508"/>
    <x v="265"/>
    <x v="0"/>
    <d v="2024-11-29T00:00:00"/>
    <x v="0"/>
    <x v="0"/>
    <x v="1"/>
    <s v="Yes"/>
    <x v="0"/>
    <s v="Yes"/>
    <n v="20"/>
    <n v="3"/>
    <x v="3"/>
  </r>
  <r>
    <n v="3509"/>
    <x v="266"/>
    <x v="2"/>
    <d v="2024-11-30T00:00:00"/>
    <x v="1"/>
    <x v="2"/>
    <x v="0"/>
    <s v="No"/>
    <x v="1"/>
    <s v="Yes"/>
    <n v="20"/>
    <n v="10"/>
    <x v="2"/>
  </r>
  <r>
    <n v="3510"/>
    <x v="267"/>
    <x v="1"/>
    <d v="2024-12-01T00:00:00"/>
    <x v="0"/>
    <x v="1"/>
    <x v="2"/>
    <s v="No"/>
    <x v="1"/>
    <s v="No"/>
    <n v="0"/>
    <n v="0"/>
    <x v="1"/>
  </r>
  <r>
    <n v="3511"/>
    <x v="268"/>
    <x v="0"/>
    <d v="2024-12-02T00:00:00"/>
    <x v="1"/>
    <x v="0"/>
    <x v="0"/>
    <s v="Yes"/>
    <x v="0"/>
    <s v="Yes"/>
    <n v="20"/>
    <n v="15"/>
    <x v="14"/>
  </r>
  <r>
    <n v="3512"/>
    <x v="269"/>
    <x v="2"/>
    <d v="2024-12-03T00:00:00"/>
    <x v="0"/>
    <x v="2"/>
    <x v="1"/>
    <s v="No"/>
    <x v="1"/>
    <s v="Yes"/>
    <n v="20"/>
    <n v="15"/>
    <x v="7"/>
  </r>
  <r>
    <n v="3513"/>
    <x v="270"/>
    <x v="1"/>
    <d v="2024-12-04T00:00:00"/>
    <x v="1"/>
    <x v="1"/>
    <x v="0"/>
    <s v="No"/>
    <x v="1"/>
    <s v="No"/>
    <n v="0"/>
    <n v="1"/>
    <x v="4"/>
  </r>
  <r>
    <n v="3514"/>
    <x v="271"/>
    <x v="0"/>
    <d v="2024-12-05T00:00:00"/>
    <x v="0"/>
    <x v="0"/>
    <x v="2"/>
    <s v="Yes"/>
    <x v="0"/>
    <s v="Yes"/>
    <n v="20"/>
    <n v="7"/>
    <x v="12"/>
  </r>
  <r>
    <n v="3515"/>
    <x v="130"/>
    <x v="2"/>
    <d v="2024-12-06T00:00:00"/>
    <x v="1"/>
    <x v="2"/>
    <x v="0"/>
    <s v="No"/>
    <x v="1"/>
    <s v="Yes"/>
    <n v="20"/>
    <n v="10"/>
    <x v="2"/>
  </r>
  <r>
    <n v="3516"/>
    <x v="131"/>
    <x v="1"/>
    <d v="2024-12-07T00:00:00"/>
    <x v="0"/>
    <x v="1"/>
    <x v="1"/>
    <s v="No"/>
    <x v="1"/>
    <s v="No"/>
    <n v="0"/>
    <n v="0"/>
    <x v="1"/>
  </r>
  <r>
    <n v="3517"/>
    <x v="181"/>
    <x v="0"/>
    <d v="2024-12-08T00:00:00"/>
    <x v="1"/>
    <x v="0"/>
    <x v="0"/>
    <s v="Yes"/>
    <x v="0"/>
    <s v="Yes"/>
    <n v="20"/>
    <n v="20"/>
    <x v="8"/>
  </r>
  <r>
    <n v="3518"/>
    <x v="272"/>
    <x v="2"/>
    <d v="2024-12-09T00:00:00"/>
    <x v="0"/>
    <x v="2"/>
    <x v="2"/>
    <s v="No"/>
    <x v="1"/>
    <s v="Yes"/>
    <n v="20"/>
    <n v="12"/>
    <x v="10"/>
  </r>
  <r>
    <n v="3519"/>
    <x v="273"/>
    <x v="1"/>
    <d v="2024-12-10T00:00:00"/>
    <x v="1"/>
    <x v="1"/>
    <x v="0"/>
    <s v="No"/>
    <x v="1"/>
    <s v="No"/>
    <n v="0"/>
    <n v="2"/>
    <x v="11"/>
  </r>
  <r>
    <n v="3520"/>
    <x v="274"/>
    <x v="0"/>
    <d v="2024-12-11T00:00:00"/>
    <x v="0"/>
    <x v="0"/>
    <x v="1"/>
    <s v="Yes"/>
    <x v="0"/>
    <s v="Yes"/>
    <n v="20"/>
    <n v="5"/>
    <x v="0"/>
  </r>
  <r>
    <n v="3521"/>
    <x v="275"/>
    <x v="2"/>
    <d v="2024-12-12T00:00:00"/>
    <x v="1"/>
    <x v="2"/>
    <x v="0"/>
    <s v="No"/>
    <x v="1"/>
    <s v="Yes"/>
    <n v="20"/>
    <n v="10"/>
    <x v="2"/>
  </r>
  <r>
    <n v="3522"/>
    <x v="276"/>
    <x v="1"/>
    <d v="2024-12-13T00:00:00"/>
    <x v="0"/>
    <x v="1"/>
    <x v="2"/>
    <s v="No"/>
    <x v="1"/>
    <s v="No"/>
    <n v="0"/>
    <n v="0"/>
    <x v="1"/>
  </r>
  <r>
    <n v="3523"/>
    <x v="277"/>
    <x v="0"/>
    <d v="2024-12-14T00:00:00"/>
    <x v="1"/>
    <x v="0"/>
    <x v="0"/>
    <s v="Yes"/>
    <x v="0"/>
    <s v="Yes"/>
    <n v="20"/>
    <n v="3"/>
    <x v="3"/>
  </r>
  <r>
    <n v="3524"/>
    <x v="278"/>
    <x v="2"/>
    <d v="2024-12-15T00:00:00"/>
    <x v="0"/>
    <x v="2"/>
    <x v="1"/>
    <s v="No"/>
    <x v="1"/>
    <s v="Yes"/>
    <n v="20"/>
    <n v="15"/>
    <x v="7"/>
  </r>
  <r>
    <n v="3525"/>
    <x v="279"/>
    <x v="1"/>
    <d v="2024-12-16T00:00:00"/>
    <x v="1"/>
    <x v="1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DE95F-1DC7-4FA1-8A14-309D53CE03C7}" name="Tabela dinâmica7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4">
  <location ref="B60:C6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 defaultSubtotal="0">
      <items count="3">
        <item x="1"/>
        <item x="2"/>
        <item x="0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9BBF0-069F-40EF-863C-766238718827}" name="Tabela dinâmica5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0">
  <location ref="B44:C5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dataField="1" showAll="0" defaultSubtotal="0">
      <items count="3">
        <item x="1"/>
        <item x="2"/>
        <item x="0"/>
      </items>
    </pivotField>
    <pivotField numFmtId="14" showAll="0"/>
    <pivotField showAll="0">
      <items count="3">
        <item x="1"/>
        <item x="0"/>
        <item t="default"/>
      </items>
    </pivotField>
    <pivotField axis="axisRow"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2">
    <field x="5"/>
    <field x="2"/>
  </rowFields>
  <rowItems count="7">
    <i>
      <x/>
    </i>
    <i r="1">
      <x/>
    </i>
    <i>
      <x v="1"/>
    </i>
    <i r="1">
      <x v="1"/>
    </i>
    <i>
      <x v="2"/>
    </i>
    <i r="1">
      <x v="2"/>
    </i>
    <i t="grand">
      <x/>
    </i>
  </rowItems>
  <colItems count="1">
    <i/>
  </colItems>
  <pageFields count="1">
    <pageField fld="6" hier="-1"/>
  </pageFields>
  <dataFields count="1">
    <dataField name="Contagem de Plan" fld="2" subtotal="count" baseField="5" baseItem="0"/>
  </dataFields>
  <chartFormats count="4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7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1"/>
          </reference>
        </references>
      </pivotArea>
    </chartFormat>
    <chartFormat chart="7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Tabela dinâmica5"/>
    <pivotTable tabId="3" name="Tabela dinâmica7"/>
  </pivotTables>
  <data>
    <tabular pivotCacheId="1765956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>
            <a:solidFill>
              <a:schemeClr val="bg1"/>
            </a:solidFill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64"/>
  <sheetViews>
    <sheetView showGridLines="0" topLeftCell="A37" workbookViewId="0">
      <selection activeCell="B6" sqref="B6"/>
    </sheetView>
  </sheetViews>
  <sheetFormatPr defaultRowHeight="15" x14ac:dyDescent="0.25"/>
  <cols>
    <col min="2" max="2" width="18.42578125" bestFit="1" customWidth="1"/>
    <col min="3" max="3" width="27.7109375" bestFit="1" customWidth="1"/>
    <col min="4" max="4" width="12.28515625" bestFit="1" customWidth="1"/>
    <col min="5" max="6" width="12.140625" bestFit="1" customWidth="1"/>
    <col min="7" max="7" width="27.7109375" bestFit="1" customWidth="1"/>
    <col min="8" max="8" width="17.5703125" bestFit="1" customWidth="1"/>
    <col min="9" max="9" width="20.140625" bestFit="1" customWidth="1"/>
    <col min="10" max="10" width="18.42578125" bestFit="1" customWidth="1"/>
    <col min="11" max="11" width="17.5703125" bestFit="1" customWidth="1"/>
    <col min="12" max="12" width="12.140625" bestFit="1" customWidth="1"/>
    <col min="13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1" t="s">
        <v>317</v>
      </c>
      <c r="C3" s="21"/>
      <c r="D3" s="21"/>
      <c r="E3" s="21"/>
      <c r="F3" s="21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325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3847</v>
      </c>
    </row>
    <row r="13" spans="2:6" x14ac:dyDescent="0.25">
      <c r="B13" s="14" t="s">
        <v>19</v>
      </c>
      <c r="C13" s="13">
        <v>3786</v>
      </c>
    </row>
    <row r="14" spans="2:6" x14ac:dyDescent="0.25">
      <c r="B14" s="14" t="s">
        <v>310</v>
      </c>
      <c r="C14" s="13">
        <v>7633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325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>
        <v>0</v>
      </c>
    </row>
    <row r="23" spans="2:5" x14ac:dyDescent="0.25">
      <c r="B23" s="14" t="s">
        <v>26</v>
      </c>
      <c r="C23">
        <v>0</v>
      </c>
    </row>
    <row r="24" spans="2:5" x14ac:dyDescent="0.25">
      <c r="B24" s="14" t="s">
        <v>18</v>
      </c>
      <c r="C24">
        <v>2940</v>
      </c>
    </row>
    <row r="25" spans="2:5" x14ac:dyDescent="0.25">
      <c r="B25" s="14" t="s">
        <v>310</v>
      </c>
      <c r="C25">
        <v>2940</v>
      </c>
      <c r="E25" s="16">
        <f>GETPIVOTDATA("EA Play Season Pass
Price",$B$21)</f>
        <v>2940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325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1920</v>
      </c>
    </row>
    <row r="35" spans="2:5" x14ac:dyDescent="0.25">
      <c r="B35" s="14" t="s">
        <v>18</v>
      </c>
      <c r="C35" s="13">
        <v>1960</v>
      </c>
    </row>
    <row r="36" spans="2:5" x14ac:dyDescent="0.25">
      <c r="B36" s="14" t="s">
        <v>310</v>
      </c>
      <c r="C36" s="13">
        <v>3880</v>
      </c>
      <c r="E36" s="16">
        <f>GETPIVOTDATA("Minecraft Season Pass Price",$B$32)</f>
        <v>3880</v>
      </c>
    </row>
    <row r="39" spans="2:5" x14ac:dyDescent="0.25">
      <c r="B39" t="s">
        <v>327</v>
      </c>
    </row>
    <row r="40" spans="2:5" x14ac:dyDescent="0.25">
      <c r="B40" s="14"/>
    </row>
    <row r="42" spans="2:5" x14ac:dyDescent="0.25">
      <c r="B42" s="12" t="s">
        <v>16</v>
      </c>
      <c r="C42" t="s">
        <v>325</v>
      </c>
    </row>
    <row r="44" spans="2:5" x14ac:dyDescent="0.25">
      <c r="B44" s="12" t="s">
        <v>309</v>
      </c>
      <c r="C44" t="s">
        <v>326</v>
      </c>
    </row>
    <row r="45" spans="2:5" x14ac:dyDescent="0.25">
      <c r="B45" s="19">
        <v>5</v>
      </c>
      <c r="C45">
        <v>101</v>
      </c>
    </row>
    <row r="46" spans="2:5" x14ac:dyDescent="0.25">
      <c r="B46" s="20" t="s">
        <v>22</v>
      </c>
      <c r="C46">
        <v>101</v>
      </c>
    </row>
    <row r="47" spans="2:5" x14ac:dyDescent="0.25">
      <c r="B47" s="19">
        <v>10</v>
      </c>
      <c r="C47">
        <v>96</v>
      </c>
    </row>
    <row r="48" spans="2:5" x14ac:dyDescent="0.25">
      <c r="B48" s="20" t="s">
        <v>26</v>
      </c>
      <c r="C48">
        <v>96</v>
      </c>
    </row>
    <row r="49" spans="2:3" x14ac:dyDescent="0.25">
      <c r="B49" s="19">
        <v>15</v>
      </c>
      <c r="C49">
        <v>98</v>
      </c>
    </row>
    <row r="50" spans="2:3" x14ac:dyDescent="0.25">
      <c r="B50" s="20" t="s">
        <v>18</v>
      </c>
      <c r="C50">
        <v>98</v>
      </c>
    </row>
    <row r="51" spans="2:3" x14ac:dyDescent="0.25">
      <c r="B51" s="19" t="s">
        <v>310</v>
      </c>
      <c r="C51">
        <v>295</v>
      </c>
    </row>
    <row r="55" spans="2:3" x14ac:dyDescent="0.25">
      <c r="B55" t="s">
        <v>324</v>
      </c>
    </row>
    <row r="58" spans="2:3" x14ac:dyDescent="0.25">
      <c r="B58" s="12" t="s">
        <v>16</v>
      </c>
      <c r="C58" t="s">
        <v>325</v>
      </c>
    </row>
    <row r="60" spans="2:3" x14ac:dyDescent="0.25">
      <c r="B60" s="12" t="s">
        <v>309</v>
      </c>
      <c r="C60" t="s">
        <v>319</v>
      </c>
    </row>
    <row r="61" spans="2:3" x14ac:dyDescent="0.25">
      <c r="B61" s="14" t="s">
        <v>22</v>
      </c>
      <c r="C61" s="13">
        <v>444</v>
      </c>
    </row>
    <row r="62" spans="2:3" x14ac:dyDescent="0.25">
      <c r="B62" s="14" t="s">
        <v>26</v>
      </c>
      <c r="C62" s="13">
        <v>1801</v>
      </c>
    </row>
    <row r="63" spans="2:3" x14ac:dyDescent="0.25">
      <c r="B63" s="14" t="s">
        <v>18</v>
      </c>
      <c r="C63" s="13">
        <v>5388</v>
      </c>
    </row>
    <row r="64" spans="2:3" x14ac:dyDescent="0.25">
      <c r="B64" s="14" t="s">
        <v>310</v>
      </c>
      <c r="C64" s="13">
        <v>7633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U75" sqref="U75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Lucas Nishida</cp:lastModifiedBy>
  <dcterms:created xsi:type="dcterms:W3CDTF">2024-12-19T13:13:10Z</dcterms:created>
  <dcterms:modified xsi:type="dcterms:W3CDTF">2026-05-20T00:21:09Z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